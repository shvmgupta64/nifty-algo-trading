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esktop\Algo\src\Backtesting\"/>
    </mc:Choice>
  </mc:AlternateContent>
  <xr:revisionPtr revIDLastSave="0" documentId="13_ncr:1_{76E469D9-455A-4E94-A903-B51046D9D7CF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TradeData" sheetId="1" r:id="rId1"/>
    <sheet name="Dashboard_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B5" i="2"/>
  <c r="B4" i="2"/>
  <c r="B3" i="2"/>
  <c r="B2" i="2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L2" i="1"/>
  <c r="M2" i="1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M262" i="1" s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M577" i="1" l="1"/>
  <c r="M561" i="1"/>
  <c r="M545" i="1"/>
  <c r="M529" i="1"/>
  <c r="M513" i="1"/>
  <c r="M497" i="1"/>
  <c r="M481" i="1"/>
  <c r="M465" i="1"/>
  <c r="M449" i="1"/>
  <c r="M433" i="1"/>
  <c r="M417" i="1"/>
  <c r="M401" i="1"/>
  <c r="M385" i="1"/>
  <c r="M369" i="1"/>
  <c r="M353" i="1"/>
  <c r="M337" i="1"/>
  <c r="M321" i="1"/>
  <c r="M305" i="1"/>
  <c r="M289" i="1"/>
  <c r="M273" i="1"/>
  <c r="M257" i="1"/>
  <c r="M241" i="1"/>
  <c r="M225" i="1"/>
  <c r="M209" i="1"/>
  <c r="M193" i="1"/>
  <c r="M177" i="1"/>
  <c r="M161" i="1"/>
  <c r="M145" i="1"/>
  <c r="M129" i="1"/>
  <c r="M113" i="1"/>
  <c r="M97" i="1"/>
  <c r="M81" i="1"/>
  <c r="M65" i="1"/>
  <c r="M49" i="1"/>
  <c r="M33" i="1"/>
  <c r="M17" i="1"/>
  <c r="M576" i="1"/>
  <c r="M560" i="1"/>
  <c r="M544" i="1"/>
  <c r="M528" i="1"/>
  <c r="M512" i="1"/>
  <c r="M496" i="1"/>
  <c r="M480" i="1"/>
  <c r="M464" i="1"/>
  <c r="M448" i="1"/>
  <c r="M432" i="1"/>
  <c r="M416" i="1"/>
  <c r="M400" i="1"/>
  <c r="M384" i="1"/>
  <c r="M368" i="1"/>
  <c r="M352" i="1"/>
  <c r="M336" i="1"/>
  <c r="M320" i="1"/>
  <c r="M304" i="1"/>
  <c r="M288" i="1"/>
  <c r="M272" i="1"/>
  <c r="M256" i="1"/>
  <c r="M240" i="1"/>
  <c r="M224" i="1"/>
  <c r="M208" i="1"/>
  <c r="M192" i="1"/>
  <c r="M176" i="1"/>
  <c r="M160" i="1"/>
  <c r="M144" i="1"/>
  <c r="M128" i="1"/>
  <c r="M112" i="1"/>
  <c r="M96" i="1"/>
  <c r="M80" i="1"/>
  <c r="M64" i="1"/>
  <c r="M48" i="1"/>
  <c r="M32" i="1"/>
  <c r="M16" i="1"/>
  <c r="M575" i="1"/>
  <c r="M559" i="1"/>
  <c r="M543" i="1"/>
  <c r="M527" i="1"/>
  <c r="M511" i="1"/>
  <c r="M495" i="1"/>
  <c r="M479" i="1"/>
  <c r="M463" i="1"/>
  <c r="M447" i="1"/>
  <c r="M431" i="1"/>
  <c r="M415" i="1"/>
  <c r="M399" i="1"/>
  <c r="M383" i="1"/>
  <c r="M367" i="1"/>
  <c r="M351" i="1"/>
  <c r="M335" i="1"/>
  <c r="M319" i="1"/>
  <c r="M303" i="1"/>
  <c r="M287" i="1"/>
  <c r="M271" i="1"/>
  <c r="M255" i="1"/>
  <c r="M239" i="1"/>
  <c r="M223" i="1"/>
  <c r="M207" i="1"/>
  <c r="M191" i="1"/>
  <c r="M175" i="1"/>
  <c r="M159" i="1"/>
  <c r="M143" i="1"/>
  <c r="M127" i="1"/>
  <c r="M111" i="1"/>
  <c r="M95" i="1"/>
  <c r="M79" i="1"/>
  <c r="M63" i="1"/>
  <c r="M47" i="1"/>
  <c r="M31" i="1"/>
  <c r="M15" i="1"/>
  <c r="M574" i="1"/>
  <c r="M558" i="1"/>
  <c r="M542" i="1"/>
  <c r="M526" i="1"/>
  <c r="M510" i="1"/>
  <c r="M494" i="1"/>
  <c r="M478" i="1"/>
  <c r="M462" i="1"/>
  <c r="M446" i="1"/>
  <c r="M430" i="1"/>
  <c r="M414" i="1"/>
  <c r="M398" i="1"/>
  <c r="M382" i="1"/>
  <c r="M366" i="1"/>
  <c r="M350" i="1"/>
  <c r="M334" i="1"/>
  <c r="M318" i="1"/>
  <c r="M302" i="1"/>
  <c r="M286" i="1"/>
  <c r="M270" i="1"/>
  <c r="M254" i="1"/>
  <c r="M238" i="1"/>
  <c r="M222" i="1"/>
  <c r="M206" i="1"/>
  <c r="M190" i="1"/>
  <c r="M174" i="1"/>
  <c r="M158" i="1"/>
  <c r="M142" i="1"/>
  <c r="M126" i="1"/>
  <c r="M110" i="1"/>
  <c r="M94" i="1"/>
  <c r="M78" i="1"/>
  <c r="M62" i="1"/>
  <c r="M46" i="1"/>
  <c r="M30" i="1"/>
  <c r="M14" i="1"/>
  <c r="M573" i="1"/>
  <c r="M557" i="1"/>
  <c r="M541" i="1"/>
  <c r="M525" i="1"/>
  <c r="M509" i="1"/>
  <c r="M493" i="1"/>
  <c r="M477" i="1"/>
  <c r="M461" i="1"/>
  <c r="M445" i="1"/>
  <c r="M429" i="1"/>
  <c r="M413" i="1"/>
  <c r="M397" i="1"/>
  <c r="M381" i="1"/>
  <c r="M365" i="1"/>
  <c r="M349" i="1"/>
  <c r="M333" i="1"/>
  <c r="M317" i="1"/>
  <c r="M301" i="1"/>
  <c r="M285" i="1"/>
  <c r="M269" i="1"/>
  <c r="M253" i="1"/>
  <c r="M237" i="1"/>
  <c r="M221" i="1"/>
  <c r="M205" i="1"/>
  <c r="M189" i="1"/>
  <c r="M173" i="1"/>
  <c r="M157" i="1"/>
  <c r="M141" i="1"/>
  <c r="M125" i="1"/>
  <c r="M109" i="1"/>
  <c r="M93" i="1"/>
  <c r="M77" i="1"/>
  <c r="M61" i="1"/>
  <c r="M45" i="1"/>
  <c r="M29" i="1"/>
  <c r="M13" i="1"/>
  <c r="M572" i="1"/>
  <c r="M556" i="1"/>
  <c r="M540" i="1"/>
  <c r="M524" i="1"/>
  <c r="M508" i="1"/>
  <c r="M492" i="1"/>
  <c r="M476" i="1"/>
  <c r="M460" i="1"/>
  <c r="M444" i="1"/>
  <c r="M428" i="1"/>
  <c r="M412" i="1"/>
  <c r="M396" i="1"/>
  <c r="M380" i="1"/>
  <c r="M364" i="1"/>
  <c r="M348" i="1"/>
  <c r="M332" i="1"/>
  <c r="M316" i="1"/>
  <c r="M300" i="1"/>
  <c r="M284" i="1"/>
  <c r="M268" i="1"/>
  <c r="M252" i="1"/>
  <c r="M236" i="1"/>
  <c r="M220" i="1"/>
  <c r="M204" i="1"/>
  <c r="M188" i="1"/>
  <c r="M172" i="1"/>
  <c r="M156" i="1"/>
  <c r="M140" i="1"/>
  <c r="M124" i="1"/>
  <c r="M108" i="1"/>
  <c r="M92" i="1"/>
  <c r="M76" i="1"/>
  <c r="M60" i="1"/>
  <c r="M44" i="1"/>
  <c r="M28" i="1"/>
  <c r="M12" i="1"/>
  <c r="M571" i="1"/>
  <c r="M555" i="1"/>
  <c r="M539" i="1"/>
  <c r="M523" i="1"/>
  <c r="M507" i="1"/>
  <c r="M491" i="1"/>
  <c r="M475" i="1"/>
  <c r="M459" i="1"/>
  <c r="M443" i="1"/>
  <c r="M427" i="1"/>
  <c r="M411" i="1"/>
  <c r="M395" i="1"/>
  <c r="M379" i="1"/>
  <c r="M363" i="1"/>
  <c r="M347" i="1"/>
  <c r="M331" i="1"/>
  <c r="M315" i="1"/>
  <c r="M299" i="1"/>
  <c r="M283" i="1"/>
  <c r="M267" i="1"/>
  <c r="M251" i="1"/>
  <c r="M235" i="1"/>
  <c r="M219" i="1"/>
  <c r="M203" i="1"/>
  <c r="M187" i="1"/>
  <c r="M171" i="1"/>
  <c r="M155" i="1"/>
  <c r="M139" i="1"/>
  <c r="M123" i="1"/>
  <c r="M107" i="1"/>
  <c r="M91" i="1"/>
  <c r="M75" i="1"/>
  <c r="M59" i="1"/>
  <c r="M43" i="1"/>
  <c r="M27" i="1"/>
  <c r="M11" i="1"/>
  <c r="M570" i="1"/>
  <c r="M554" i="1"/>
  <c r="M538" i="1"/>
  <c r="M522" i="1"/>
  <c r="M506" i="1"/>
  <c r="M490" i="1"/>
  <c r="M474" i="1"/>
  <c r="M458" i="1"/>
  <c r="M442" i="1"/>
  <c r="M426" i="1"/>
  <c r="M410" i="1"/>
  <c r="M394" i="1"/>
  <c r="M378" i="1"/>
  <c r="M362" i="1"/>
  <c r="M346" i="1"/>
  <c r="M330" i="1"/>
  <c r="M314" i="1"/>
  <c r="M298" i="1"/>
  <c r="M282" i="1"/>
  <c r="M266" i="1"/>
  <c r="M250" i="1"/>
  <c r="M234" i="1"/>
  <c r="M218" i="1"/>
  <c r="M202" i="1"/>
  <c r="M186" i="1"/>
  <c r="M170" i="1"/>
  <c r="M154" i="1"/>
  <c r="M138" i="1"/>
  <c r="M122" i="1"/>
  <c r="M106" i="1"/>
  <c r="M90" i="1"/>
  <c r="M74" i="1"/>
  <c r="M58" i="1"/>
  <c r="M42" i="1"/>
  <c r="M26" i="1"/>
  <c r="M10" i="1"/>
  <c r="M569" i="1"/>
  <c r="M553" i="1"/>
  <c r="M537" i="1"/>
  <c r="M521" i="1"/>
  <c r="M505" i="1"/>
  <c r="M489" i="1"/>
  <c r="M473" i="1"/>
  <c r="M457" i="1"/>
  <c r="M441" i="1"/>
  <c r="M425" i="1"/>
  <c r="M409" i="1"/>
  <c r="M393" i="1"/>
  <c r="M377" i="1"/>
  <c r="M361" i="1"/>
  <c r="M345" i="1"/>
  <c r="M329" i="1"/>
  <c r="M313" i="1"/>
  <c r="M297" i="1"/>
  <c r="M281" i="1"/>
  <c r="M265" i="1"/>
  <c r="M249" i="1"/>
  <c r="M233" i="1"/>
  <c r="M217" i="1"/>
  <c r="M201" i="1"/>
  <c r="M185" i="1"/>
  <c r="M169" i="1"/>
  <c r="M153" i="1"/>
  <c r="M137" i="1"/>
  <c r="M121" i="1"/>
  <c r="M105" i="1"/>
  <c r="M89" i="1"/>
  <c r="M73" i="1"/>
  <c r="M57" i="1"/>
  <c r="M41" i="1"/>
  <c r="M25" i="1"/>
  <c r="M9" i="1"/>
  <c r="M584" i="1"/>
  <c r="M568" i="1"/>
  <c r="M552" i="1"/>
  <c r="M536" i="1"/>
  <c r="M520" i="1"/>
  <c r="M504" i="1"/>
  <c r="M488" i="1"/>
  <c r="M472" i="1"/>
  <c r="M456" i="1"/>
  <c r="M440" i="1"/>
  <c r="M424" i="1"/>
  <c r="M408" i="1"/>
  <c r="M392" i="1"/>
  <c r="M376" i="1"/>
  <c r="M360" i="1"/>
  <c r="M344" i="1"/>
  <c r="M328" i="1"/>
  <c r="M312" i="1"/>
  <c r="M296" i="1"/>
  <c r="M280" i="1"/>
  <c r="M264" i="1"/>
  <c r="M248" i="1"/>
  <c r="M232" i="1"/>
  <c r="M216" i="1"/>
  <c r="M200" i="1"/>
  <c r="M184" i="1"/>
  <c r="M168" i="1"/>
  <c r="M152" i="1"/>
  <c r="M136" i="1"/>
  <c r="M120" i="1"/>
  <c r="M104" i="1"/>
  <c r="M88" i="1"/>
  <c r="M72" i="1"/>
  <c r="M56" i="1"/>
  <c r="M40" i="1"/>
  <c r="M24" i="1"/>
  <c r="M8" i="1"/>
  <c r="M583" i="1"/>
  <c r="M567" i="1"/>
  <c r="M551" i="1"/>
  <c r="M535" i="1"/>
  <c r="M519" i="1"/>
  <c r="M503" i="1"/>
  <c r="M487" i="1"/>
  <c r="M471" i="1"/>
  <c r="M455" i="1"/>
  <c r="M439" i="1"/>
  <c r="M423" i="1"/>
  <c r="M407" i="1"/>
  <c r="M391" i="1"/>
  <c r="M375" i="1"/>
  <c r="M359" i="1"/>
  <c r="M343" i="1"/>
  <c r="M327" i="1"/>
  <c r="M311" i="1"/>
  <c r="M295" i="1"/>
  <c r="M279" i="1"/>
  <c r="M263" i="1"/>
  <c r="M247" i="1"/>
  <c r="M231" i="1"/>
  <c r="M215" i="1"/>
  <c r="M199" i="1"/>
  <c r="M183" i="1"/>
  <c r="M167" i="1"/>
  <c r="M151" i="1"/>
  <c r="M135" i="1"/>
  <c r="M119" i="1"/>
  <c r="M103" i="1"/>
  <c r="M87" i="1"/>
  <c r="M71" i="1"/>
  <c r="M55" i="1"/>
  <c r="M39" i="1"/>
  <c r="M23" i="1"/>
  <c r="M7" i="1"/>
  <c r="M550" i="1"/>
  <c r="M502" i="1"/>
  <c r="M454" i="1"/>
  <c r="M406" i="1"/>
  <c r="M358" i="1"/>
  <c r="M326" i="1"/>
  <c r="M310" i="1"/>
  <c r="M294" i="1"/>
  <c r="M278" i="1"/>
  <c r="M246" i="1"/>
  <c r="M230" i="1"/>
  <c r="M214" i="1"/>
  <c r="M198" i="1"/>
  <c r="M182" i="1"/>
  <c r="M166" i="1"/>
  <c r="M150" i="1"/>
  <c r="M134" i="1"/>
  <c r="M118" i="1"/>
  <c r="M102" i="1"/>
  <c r="M86" i="1"/>
  <c r="M70" i="1"/>
  <c r="M54" i="1"/>
  <c r="M38" i="1"/>
  <c r="M22" i="1"/>
  <c r="M6" i="1"/>
  <c r="M582" i="1"/>
  <c r="M566" i="1"/>
  <c r="M534" i="1"/>
  <c r="M518" i="1"/>
  <c r="M486" i="1"/>
  <c r="M470" i="1"/>
  <c r="M438" i="1"/>
  <c r="M422" i="1"/>
  <c r="M390" i="1"/>
  <c r="M374" i="1"/>
  <c r="M342" i="1"/>
  <c r="M581" i="1"/>
  <c r="M565" i="1"/>
  <c r="M549" i="1"/>
  <c r="M533" i="1"/>
  <c r="M517" i="1"/>
  <c r="M501" i="1"/>
  <c r="M485" i="1"/>
  <c r="M469" i="1"/>
  <c r="M453" i="1"/>
  <c r="M437" i="1"/>
  <c r="M421" i="1"/>
  <c r="M405" i="1"/>
  <c r="M389" i="1"/>
  <c r="M373" i="1"/>
  <c r="M357" i="1"/>
  <c r="M341" i="1"/>
  <c r="M325" i="1"/>
  <c r="M309" i="1"/>
  <c r="M293" i="1"/>
  <c r="M277" i="1"/>
  <c r="M261" i="1"/>
  <c r="M245" i="1"/>
  <c r="M229" i="1"/>
  <c r="M213" i="1"/>
  <c r="M197" i="1"/>
  <c r="M181" i="1"/>
  <c r="M165" i="1"/>
  <c r="M149" i="1"/>
  <c r="M133" i="1"/>
  <c r="M117" i="1"/>
  <c r="M101" i="1"/>
  <c r="M85" i="1"/>
  <c r="M69" i="1"/>
  <c r="M53" i="1"/>
  <c r="M37" i="1"/>
  <c r="M21" i="1"/>
  <c r="M5" i="1"/>
  <c r="M580" i="1"/>
  <c r="M564" i="1"/>
  <c r="M548" i="1"/>
  <c r="M532" i="1"/>
  <c r="M516" i="1"/>
  <c r="M500" i="1"/>
  <c r="M484" i="1"/>
  <c r="M468" i="1"/>
  <c r="M452" i="1"/>
  <c r="M436" i="1"/>
  <c r="M420" i="1"/>
  <c r="M404" i="1"/>
  <c r="M388" i="1"/>
  <c r="M372" i="1"/>
  <c r="M356" i="1"/>
  <c r="M340" i="1"/>
  <c r="M324" i="1"/>
  <c r="M308" i="1"/>
  <c r="M292" i="1"/>
  <c r="M276" i="1"/>
  <c r="M260" i="1"/>
  <c r="M244" i="1"/>
  <c r="M228" i="1"/>
  <c r="M212" i="1"/>
  <c r="M196" i="1"/>
  <c r="M180" i="1"/>
  <c r="M164" i="1"/>
  <c r="M148" i="1"/>
  <c r="M132" i="1"/>
  <c r="M116" i="1"/>
  <c r="M100" i="1"/>
  <c r="M84" i="1"/>
  <c r="M68" i="1"/>
  <c r="M52" i="1"/>
  <c r="M36" i="1"/>
  <c r="M20" i="1"/>
  <c r="M4" i="1"/>
  <c r="M579" i="1"/>
  <c r="M563" i="1"/>
  <c r="M547" i="1"/>
  <c r="M531" i="1"/>
  <c r="M515" i="1"/>
  <c r="M499" i="1"/>
  <c r="M483" i="1"/>
  <c r="M467" i="1"/>
  <c r="M451" i="1"/>
  <c r="M435" i="1"/>
  <c r="M419" i="1"/>
  <c r="M403" i="1"/>
  <c r="M387" i="1"/>
  <c r="M371" i="1"/>
  <c r="M355" i="1"/>
  <c r="M339" i="1"/>
  <c r="M323" i="1"/>
  <c r="M307" i="1"/>
  <c r="M291" i="1"/>
  <c r="M275" i="1"/>
  <c r="M259" i="1"/>
  <c r="M243" i="1"/>
  <c r="M227" i="1"/>
  <c r="M211" i="1"/>
  <c r="M195" i="1"/>
  <c r="M179" i="1"/>
  <c r="M163" i="1"/>
  <c r="M147" i="1"/>
  <c r="M131" i="1"/>
  <c r="M115" i="1"/>
  <c r="M99" i="1"/>
  <c r="M83" i="1"/>
  <c r="M67" i="1"/>
  <c r="M51" i="1"/>
  <c r="M35" i="1"/>
  <c r="M19" i="1"/>
  <c r="M3" i="1"/>
  <c r="M578" i="1"/>
  <c r="M562" i="1"/>
  <c r="M546" i="1"/>
  <c r="M530" i="1"/>
  <c r="M514" i="1"/>
  <c r="M498" i="1"/>
  <c r="M482" i="1"/>
  <c r="M466" i="1"/>
  <c r="M450" i="1"/>
  <c r="M434" i="1"/>
  <c r="M418" i="1"/>
  <c r="M402" i="1"/>
  <c r="M386" i="1"/>
  <c r="M370" i="1"/>
  <c r="M354" i="1"/>
  <c r="M338" i="1"/>
  <c r="M322" i="1"/>
  <c r="M306" i="1"/>
  <c r="M290" i="1"/>
  <c r="M274" i="1"/>
  <c r="M258" i="1"/>
  <c r="M242" i="1"/>
  <c r="M226" i="1"/>
  <c r="M210" i="1"/>
  <c r="M194" i="1"/>
  <c r="M178" i="1"/>
  <c r="M162" i="1"/>
  <c r="M146" i="1"/>
  <c r="M130" i="1"/>
  <c r="M114" i="1"/>
  <c r="M98" i="1"/>
  <c r="M82" i="1"/>
  <c r="M66" i="1"/>
  <c r="M50" i="1"/>
  <c r="M34" i="1"/>
  <c r="M18" i="1"/>
</calcChain>
</file>

<file path=xl/sharedStrings.xml><?xml version="1.0" encoding="utf-8"?>
<sst xmlns="http://schemas.openxmlformats.org/spreadsheetml/2006/main" count="2353" uniqueCount="1130">
  <si>
    <t>EntryTime</t>
  </si>
  <si>
    <t>ExitTime</t>
  </si>
  <si>
    <t>Direction</t>
  </si>
  <si>
    <t>Entry</t>
  </si>
  <si>
    <t>StopLoss</t>
  </si>
  <si>
    <t>Target</t>
  </si>
  <si>
    <t>ExitPrice</t>
  </si>
  <si>
    <t>Outcome</t>
  </si>
  <si>
    <t>Risk</t>
  </si>
  <si>
    <t>Reward</t>
  </si>
  <si>
    <t>PnL</t>
  </si>
  <si>
    <t>2024-12-02 11:55:00+05:30</t>
  </si>
  <si>
    <t>2024-12-02 12:25:00+05:30</t>
  </si>
  <si>
    <t>CE</t>
  </si>
  <si>
    <t>TARGET_HIT</t>
  </si>
  <si>
    <t>2024-12-02 13:25:00+05:30</t>
  </si>
  <si>
    <t>SL_HIT</t>
  </si>
  <si>
    <t>2024-12-03 09:45:00+05:30</t>
  </si>
  <si>
    <t>2024-12-03 10:25:00+05:30</t>
  </si>
  <si>
    <t>2024-12-03 11:55:00+05:30</t>
  </si>
  <si>
    <t>2024-12-03 12:10:00+05:30</t>
  </si>
  <si>
    <t>2024-12-03 13:30:00+05:30</t>
  </si>
  <si>
    <t>2024-12-03 15:25:00+05:30</t>
  </si>
  <si>
    <t>EOD_EXIT</t>
  </si>
  <si>
    <t>2024-12-04 09:20:00+05:30</t>
  </si>
  <si>
    <t>2024-12-04 10:05:00+05:30</t>
  </si>
  <si>
    <t>2024-12-04 10:30:00+05:30</t>
  </si>
  <si>
    <t>2024-12-04 10:45:00+05:30</t>
  </si>
  <si>
    <t>2024-12-04 10:50:00+05:30</t>
  </si>
  <si>
    <t>2024-12-04 11:55:00+05:30</t>
  </si>
  <si>
    <t>2024-12-05 09:45:00+05:30</t>
  </si>
  <si>
    <t>2024-12-05 10:55:00+05:30</t>
  </si>
  <si>
    <t>PE</t>
  </si>
  <si>
    <t>2024-12-05 12:05:00+05:30</t>
  </si>
  <si>
    <t>2024-12-05 13:35:00+05:30</t>
  </si>
  <si>
    <t>2024-12-05 14:10:00+05:30</t>
  </si>
  <si>
    <t>2024-12-05 14:50:00+05:30</t>
  </si>
  <si>
    <t>2024-12-06 09:20:00+05:30</t>
  </si>
  <si>
    <t>2024-12-06 09:55:00+05:30</t>
  </si>
  <si>
    <t>2024-12-06 10:00:00+05:30</t>
  </si>
  <si>
    <t>2024-12-06 10:05:00+05:30</t>
  </si>
  <si>
    <t>2024-12-09 09:35:00+05:30</t>
  </si>
  <si>
    <t>2024-12-09 09:45:00+05:30</t>
  </si>
  <si>
    <t>2024-12-09 09:50:00+05:30</t>
  </si>
  <si>
    <t>2024-12-09 11:20:00+05:30</t>
  </si>
  <si>
    <t>2024-12-10 09:50:00+05:30</t>
  </si>
  <si>
    <t>2024-12-10 10:35:00+05:30</t>
  </si>
  <si>
    <t>2024-12-10 12:10:00+05:30</t>
  </si>
  <si>
    <t>2024-12-10 12:15:00+05:30</t>
  </si>
  <si>
    <t>2024-12-10 13:15:00+05:30</t>
  </si>
  <si>
    <t>2024-12-10 13:35:00+05:30</t>
  </si>
  <si>
    <t>2024-12-10 15:00:00+05:30</t>
  </si>
  <si>
    <t>2024-12-11 09:50:00+05:30</t>
  </si>
  <si>
    <t>2024-12-11 10:45:00+05:30</t>
  </si>
  <si>
    <t>2024-12-11 11:30:00+05:30</t>
  </si>
  <si>
    <t>2024-12-11 12:15:00+05:30</t>
  </si>
  <si>
    <t>2024-12-11 14:40:00+05:30</t>
  </si>
  <si>
    <t>2024-12-11 15:25:00+05:30</t>
  </si>
  <si>
    <t>2024-12-12 09:30:00+05:30</t>
  </si>
  <si>
    <t>2024-12-12 09:40:00+05:30</t>
  </si>
  <si>
    <t>2024-12-12 10:05:00+05:30</t>
  </si>
  <si>
    <t>2024-12-12 12:05:00+05:30</t>
  </si>
  <si>
    <t>2024-12-12 13:30:00+05:30</t>
  </si>
  <si>
    <t>2024-12-12 13:35:00+05:30</t>
  </si>
  <si>
    <t>2024-12-13 12:45:00+05:30</t>
  </si>
  <si>
    <t>2024-12-13 13:00:00+05:30</t>
  </si>
  <si>
    <t>2024-12-13 13:20:00+05:30</t>
  </si>
  <si>
    <t>2024-12-13 14:25:00+05:30</t>
  </si>
  <si>
    <t>2024-12-13 14:55:00+05:30</t>
  </si>
  <si>
    <t>2024-12-13 15:05:00+05:30</t>
  </si>
  <si>
    <t>2024-12-16 10:05:00+05:30</t>
  </si>
  <si>
    <t>2024-12-16 10:15:00+05:30</t>
  </si>
  <si>
    <t>2024-12-16 10:40:00+05:30</t>
  </si>
  <si>
    <t>2024-12-16 11:15:00+05:30</t>
  </si>
  <si>
    <t>2024-12-16 11:25:00+05:30</t>
  </si>
  <si>
    <t>2024-12-16 11:35:00+05:30</t>
  </si>
  <si>
    <t>2024-12-17 10:50:00+05:30</t>
  </si>
  <si>
    <t>2024-12-17 10:55:00+05:30</t>
  </si>
  <si>
    <t>2024-12-17 11:25:00+05:30</t>
  </si>
  <si>
    <t>2024-12-17 12:30:00+05:30</t>
  </si>
  <si>
    <t>2024-12-18 09:20:00+05:30</t>
  </si>
  <si>
    <t>2024-12-18 09:40:00+05:30</t>
  </si>
  <si>
    <t>2024-12-18 10:25:00+05:30</t>
  </si>
  <si>
    <t>2024-12-18 10:30:00+05:30</t>
  </si>
  <si>
    <t>2024-12-19 10:45:00+05:30</t>
  </si>
  <si>
    <t>2024-12-19 11:35:00+05:30</t>
  </si>
  <si>
    <t>2024-12-19 13:15:00+05:30</t>
  </si>
  <si>
    <t>2024-12-19 14:00:00+05:30</t>
  </si>
  <si>
    <t>2024-12-20 09:15:00+05:30</t>
  </si>
  <si>
    <t>2024-12-20 09:35:00+05:30</t>
  </si>
  <si>
    <t>2024-12-20 10:20:00+05:30</t>
  </si>
  <si>
    <t>2024-12-20 10:30:00+05:30</t>
  </si>
  <si>
    <t>2024-12-23 09:40:00+05:30</t>
  </si>
  <si>
    <t>2024-12-23 11:00:00+05:30</t>
  </si>
  <si>
    <t>2024-12-23 13:05:00+05:30</t>
  </si>
  <si>
    <t>2024-12-23 14:15:00+05:30</t>
  </si>
  <si>
    <t>2024-12-24 09:55:00+05:30</t>
  </si>
  <si>
    <t>2024-12-24 10:35:00+05:30</t>
  </si>
  <si>
    <t>2024-12-24 11:00:00+05:30</t>
  </si>
  <si>
    <t>2024-12-24 11:30:00+05:30</t>
  </si>
  <si>
    <t>2024-12-24 13:25:00+05:30</t>
  </si>
  <si>
    <t>2024-12-24 13:45:00+05:30</t>
  </si>
  <si>
    <t>2024-12-24 14:05:00+05:30</t>
  </si>
  <si>
    <t>2024-12-24 14:10:00+05:30</t>
  </si>
  <si>
    <t>2024-12-26 10:25:00+05:30</t>
  </si>
  <si>
    <t>2024-12-26 11:10:00+05:30</t>
  </si>
  <si>
    <t>2024-12-26 13:30:00+05:30</t>
  </si>
  <si>
    <t>2024-12-26 13:40:00+05:30</t>
  </si>
  <si>
    <t>2024-12-27 13:10:00+05:30</t>
  </si>
  <si>
    <t>2024-12-27 14:50:00+05:30</t>
  </si>
  <si>
    <t>2024-12-27 15:20:00+05:30</t>
  </si>
  <si>
    <t>2024-12-30 09:20:00+05:30</t>
  </si>
  <si>
    <t>2024-12-30 09:40:00+05:30</t>
  </si>
  <si>
    <t>2024-12-30 13:20:00+05:30</t>
  </si>
  <si>
    <t>2024-12-30 13:30:00+05:30</t>
  </si>
  <si>
    <t>2024-12-31 09:40:00+05:30</t>
  </si>
  <si>
    <t>2024-12-31 10:50:00+05:30</t>
  </si>
  <si>
    <t>2024-12-31 11:40:00+05:30</t>
  </si>
  <si>
    <t>2024-12-31 11:55:00+05:30</t>
  </si>
  <si>
    <t>2025-01-01 09:15:00+05:30</t>
  </si>
  <si>
    <t>2025-01-01 09:40:00+05:30</t>
  </si>
  <si>
    <t>2025-01-01 09:45:00+05:30</t>
  </si>
  <si>
    <t>2025-01-01 10:00:00+05:30</t>
  </si>
  <si>
    <t>2025-01-01 10:10:00+05:30</t>
  </si>
  <si>
    <t>2025-01-02 09:30:00+05:30</t>
  </si>
  <si>
    <t>2025-01-02 09:55:00+05:30</t>
  </si>
  <si>
    <t>2025-01-02 11:55:00+05:30</t>
  </si>
  <si>
    <t>2025-01-02 12:25:00+05:30</t>
  </si>
  <si>
    <t>2025-01-02 13:25:00+05:30</t>
  </si>
  <si>
    <t>2025-01-02 14:05:00+05:30</t>
  </si>
  <si>
    <t>2025-01-02 14:45:00+05:30</t>
  </si>
  <si>
    <t>2025-01-03 10:05:00+05:30</t>
  </si>
  <si>
    <t>2025-01-03 11:20:00+05:30</t>
  </si>
  <si>
    <t>2025-01-03 12:10:00+05:30</t>
  </si>
  <si>
    <t>2025-01-03 12:15:00+05:30</t>
  </si>
  <si>
    <t>2025-01-06 12:15:00+05:30</t>
  </si>
  <si>
    <t>2025-01-06 12:35:00+05:30</t>
  </si>
  <si>
    <t>2025-01-06 14:20:00+05:30</t>
  </si>
  <si>
    <t>2025-01-06 14:30:00+05:30</t>
  </si>
  <si>
    <t>2025-01-07 10:40:00+05:30</t>
  </si>
  <si>
    <t>2025-01-07 10:50:00+05:30</t>
  </si>
  <si>
    <t>2025-01-07 10:55:00+05:30</t>
  </si>
  <si>
    <t>2025-01-07 11:30:00+05:30</t>
  </si>
  <si>
    <t>2025-01-07 11:45:00+05:30</t>
  </si>
  <si>
    <t>2025-01-08 09:15:00+05:30</t>
  </si>
  <si>
    <t>2025-01-08 11:20:00+05:30</t>
  </si>
  <si>
    <t>2025-01-08 11:25:00+05:30</t>
  </si>
  <si>
    <t>2025-01-08 11:35:00+05:30</t>
  </si>
  <si>
    <t>2025-01-08 12:10:00+05:30</t>
  </si>
  <si>
    <t>2025-01-08 12:20:00+05:30</t>
  </si>
  <si>
    <t>2025-01-09 10:00:00+05:30</t>
  </si>
  <si>
    <t>2025-01-09 10:10:00+05:30</t>
  </si>
  <si>
    <t>2025-01-09 10:45:00+05:30</t>
  </si>
  <si>
    <t>2025-01-09 15:25:00+05:30</t>
  </si>
  <si>
    <t>2025-01-10 11:45:00+05:30</t>
  </si>
  <si>
    <t>2025-01-10 12:10:00+05:30</t>
  </si>
  <si>
    <t>2025-01-10 14:10:00+05:30</t>
  </si>
  <si>
    <t>2025-01-13 10:15:00+05:30</t>
  </si>
  <si>
    <t>2025-01-13 10:25:00+05:30</t>
  </si>
  <si>
    <t>2025-01-13 11:15:00+05:30</t>
  </si>
  <si>
    <t>2025-01-13 11:35:00+05:30</t>
  </si>
  <si>
    <t>2025-01-13 12:55:00+05:30</t>
  </si>
  <si>
    <t>2025-01-13 14:10:00+05:30</t>
  </si>
  <si>
    <t>2025-01-13 14:20:00+05:30</t>
  </si>
  <si>
    <t>2025-01-13 14:30:00+05:30</t>
  </si>
  <si>
    <t>2025-01-13 14:45:00+05:30</t>
  </si>
  <si>
    <t>2025-01-14 09:45:00+05:30</t>
  </si>
  <si>
    <t>2025-01-14 09:55:00+05:30</t>
  </si>
  <si>
    <t>2025-01-14 10:05:00+05:30</t>
  </si>
  <si>
    <t>2025-01-14 10:15:00+05:30</t>
  </si>
  <si>
    <t>2025-01-15 09:40:00+05:30</t>
  </si>
  <si>
    <t>2025-01-15 10:35:00+05:30</t>
  </si>
  <si>
    <t>2025-01-15 14:20:00+05:30</t>
  </si>
  <si>
    <t>2025-01-15 14:40:00+05:30</t>
  </si>
  <si>
    <t>2025-01-17 09:15:00+05:30</t>
  </si>
  <si>
    <t>2025-01-17 15:25:00+05:30</t>
  </si>
  <si>
    <t>2025-01-20 10:10:00+05:30</t>
  </si>
  <si>
    <t>2025-01-20 10:40:00+05:30</t>
  </si>
  <si>
    <t>2025-01-20 11:15:00+05:30</t>
  </si>
  <si>
    <t>2025-01-20 15:25:00+05:30</t>
  </si>
  <si>
    <t>2025-01-21 09:25:00+05:30</t>
  </si>
  <si>
    <t>2025-01-21 09:30:00+05:30</t>
  </si>
  <si>
    <t>2025-01-21 09:55:00+05:30</t>
  </si>
  <si>
    <t>2025-01-21 10:20:00+05:30</t>
  </si>
  <si>
    <t>2025-01-21 11:25:00+05:30</t>
  </si>
  <si>
    <t>2025-01-21 11:30:00+05:30</t>
  </si>
  <si>
    <t>2025-01-22 10:45:00+05:30</t>
  </si>
  <si>
    <t>2025-01-22 10:50:00+05:30</t>
  </si>
  <si>
    <t>2025-01-22 11:10:00+05:30</t>
  </si>
  <si>
    <t>2025-01-22 12:00:00+05:30</t>
  </si>
  <si>
    <t>2025-01-22 12:20:00+05:30</t>
  </si>
  <si>
    <t>2025-01-22 14:10:00+05:30</t>
  </si>
  <si>
    <t>2025-01-23 12:15:00+05:30</t>
  </si>
  <si>
    <t>2025-01-23 14:25:00+05:30</t>
  </si>
  <si>
    <t>2025-01-23 14:45:00+05:30</t>
  </si>
  <si>
    <t>2025-01-23 15:25:00+05:30</t>
  </si>
  <si>
    <t>2025-01-24 09:45:00+05:30</t>
  </si>
  <si>
    <t>2025-01-24 11:05:00+05:30</t>
  </si>
  <si>
    <t>2025-01-24 12:15:00+05:30</t>
  </si>
  <si>
    <t>2025-01-24 12:25:00+05:30</t>
  </si>
  <si>
    <t>2025-01-27 13:15:00+05:30</t>
  </si>
  <si>
    <t>2025-01-27 13:35:00+05:30</t>
  </si>
  <si>
    <t>2025-01-27 13:40:00+05:30</t>
  </si>
  <si>
    <t>2025-01-27 13:45:00+05:30</t>
  </si>
  <si>
    <t>2025-01-27 13:55:00+05:30</t>
  </si>
  <si>
    <t>2025-01-28 09:45:00+05:30</t>
  </si>
  <si>
    <t>2025-01-28 09:50:00+05:30</t>
  </si>
  <si>
    <t>2025-01-28 09:55:00+05:30</t>
  </si>
  <si>
    <t>2025-01-28 10:15:00+05:30</t>
  </si>
  <si>
    <t>2025-01-29 09:25:00+05:30</t>
  </si>
  <si>
    <t>2025-01-29 09:30:00+05:30</t>
  </si>
  <si>
    <t>2025-01-29 10:20:00+05:30</t>
  </si>
  <si>
    <t>2025-01-29 11:20:00+05:30</t>
  </si>
  <si>
    <t>2025-01-30 09:20:00+05:30</t>
  </si>
  <si>
    <t>2025-01-30 10:00:00+05:30</t>
  </si>
  <si>
    <t>2025-01-30 13:25:00+05:30</t>
  </si>
  <si>
    <t>2025-01-30 14:05:00+05:30</t>
  </si>
  <si>
    <t>2025-01-30 14:50:00+05:30</t>
  </si>
  <si>
    <t>2025-01-30 14:55:00+05:30</t>
  </si>
  <si>
    <t>2025-01-31 10:15:00+05:30</t>
  </si>
  <si>
    <t>2025-01-31 10:45:00+05:30</t>
  </si>
  <si>
    <t>2025-01-31 12:30:00+05:30</t>
  </si>
  <si>
    <t>2025-01-31 13:15:00+05:30</t>
  </si>
  <si>
    <t>2025-02-01 09:25:00+05:30</t>
  </si>
  <si>
    <t>2025-02-01 09:30:00+05:30</t>
  </si>
  <si>
    <t>2025-02-01 11:50:00+05:30</t>
  </si>
  <si>
    <t>2025-02-01 15:25:00+05:30</t>
  </si>
  <si>
    <t>2025-02-03 11:35:00+05:30</t>
  </si>
  <si>
    <t>2025-02-03 12:00:00+05:30</t>
  </si>
  <si>
    <t>2025-02-03 12:35:00+05:30</t>
  </si>
  <si>
    <t>2025-02-03 13:00:00+05:30</t>
  </si>
  <si>
    <t>2025-02-04 10:15:00+05:30</t>
  </si>
  <si>
    <t>2025-02-04 10:25:00+05:30</t>
  </si>
  <si>
    <t>2025-02-04 11:15:00+05:30</t>
  </si>
  <si>
    <t>2025-02-04 11:45:00+05:30</t>
  </si>
  <si>
    <t>2025-02-04 12:00:00+05:30</t>
  </si>
  <si>
    <t>2025-02-05 12:20:00+05:30</t>
  </si>
  <si>
    <t>2025-02-05 13:10:00+05:30</t>
  </si>
  <si>
    <t>2025-02-05 13:55:00+05:30</t>
  </si>
  <si>
    <t>2025-02-05 14:05:00+05:30</t>
  </si>
  <si>
    <t>2025-02-06 09:20:00+05:30</t>
  </si>
  <si>
    <t>2025-02-06 09:40:00+05:30</t>
  </si>
  <si>
    <t>2025-02-06 10:05:00+05:30</t>
  </si>
  <si>
    <t>2025-02-06 13:45:00+05:30</t>
  </si>
  <si>
    <t>2025-02-06 13:55:00+05:30</t>
  </si>
  <si>
    <t>2025-02-07 09:25:00+05:30</t>
  </si>
  <si>
    <t>2025-02-07 10:05:00+05:30</t>
  </si>
  <si>
    <t>2025-02-07 10:15:00+05:30</t>
  </si>
  <si>
    <t>2025-02-07 11:15:00+05:30</t>
  </si>
  <si>
    <t>2025-02-07 12:05:00+05:30</t>
  </si>
  <si>
    <t>2025-02-10 09:25:00+05:30</t>
  </si>
  <si>
    <t>2025-02-10 09:30:00+05:30</t>
  </si>
  <si>
    <t>2025-02-10 10:05:00+05:30</t>
  </si>
  <si>
    <t>2025-02-10 15:25:00+05:30</t>
  </si>
  <si>
    <t>2025-02-11 09:45:00+05:30</t>
  </si>
  <si>
    <t>2025-02-11 12:10:00+05:30</t>
  </si>
  <si>
    <t>2025-02-11 12:45:00+05:30</t>
  </si>
  <si>
    <t>2025-02-11 13:00:00+05:30</t>
  </si>
  <si>
    <t>2025-02-11 14:15:00+05:30</t>
  </si>
  <si>
    <t>2025-02-11 14:25:00+05:30</t>
  </si>
  <si>
    <t>2025-02-11 14:50:00+05:30</t>
  </si>
  <si>
    <t>2025-02-12 09:20:00+05:30</t>
  </si>
  <si>
    <t>2025-02-12 09:40:00+05:30</t>
  </si>
  <si>
    <t>2025-02-12 10:40:00+05:30</t>
  </si>
  <si>
    <t>2025-02-12 10:45:00+05:30</t>
  </si>
  <si>
    <t>2025-02-12 11:40:00+05:30</t>
  </si>
  <si>
    <t>2025-02-12 15:25:00+05:30</t>
  </si>
  <si>
    <t>2025-02-13 09:30:00+05:30</t>
  </si>
  <si>
    <t>2025-02-13 14:35:00+05:30</t>
  </si>
  <si>
    <t>2025-02-14 09:50:00+05:30</t>
  </si>
  <si>
    <t>2025-02-14 10:05:00+05:30</t>
  </si>
  <si>
    <t>2025-02-14 10:35:00+05:30</t>
  </si>
  <si>
    <t>2025-02-14 13:00:00+05:30</t>
  </si>
  <si>
    <t>2025-02-14 13:45:00+05:30</t>
  </si>
  <si>
    <t>2025-02-14 14:15:00+05:30</t>
  </si>
  <si>
    <t>2025-02-17 11:55:00+05:30</t>
  </si>
  <si>
    <t>2025-02-17 12:05:00+05:30</t>
  </si>
  <si>
    <t>2025-02-17 12:15:00+05:30</t>
  </si>
  <si>
    <t>2025-02-17 12:40:00+05:30</t>
  </si>
  <si>
    <t>2025-02-18 10:00:00+05:30</t>
  </si>
  <si>
    <t>2025-02-18 10:05:00+05:30</t>
  </si>
  <si>
    <t>2025-02-18 10:15:00+05:30</t>
  </si>
  <si>
    <t>2025-02-18 12:35:00+05:30</t>
  </si>
  <si>
    <t>2025-02-19 10:10:00+05:30</t>
  </si>
  <si>
    <t>2025-02-19 10:30:00+05:30</t>
  </si>
  <si>
    <t>2025-02-19 11:55:00+05:30</t>
  </si>
  <si>
    <t>2025-02-19 12:25:00+05:30</t>
  </si>
  <si>
    <t>2025-02-19 13:05:00+05:30</t>
  </si>
  <si>
    <t>2025-02-19 13:35:00+05:30</t>
  </si>
  <si>
    <t>2025-02-20 09:45:00+05:30</t>
  </si>
  <si>
    <t>2025-02-20 09:55:00+05:30</t>
  </si>
  <si>
    <t>2025-02-20 14:55:00+05:30</t>
  </si>
  <si>
    <t>2025-02-20 15:25:00+05:30</t>
  </si>
  <si>
    <t>2025-02-21 09:35:00+05:30</t>
  </si>
  <si>
    <t>2025-02-21 09:45:00+05:30</t>
  </si>
  <si>
    <t>2025-02-21 10:45:00+05:30</t>
  </si>
  <si>
    <t>2025-02-21 11:35:00+05:30</t>
  </si>
  <si>
    <t>2025-02-21 13:25:00+05:30</t>
  </si>
  <si>
    <t>2025-02-21 14:05:00+05:30</t>
  </si>
  <si>
    <t>2025-02-24 10:55:00+05:30</t>
  </si>
  <si>
    <t>2025-02-24 11:05:00+05:30</t>
  </si>
  <si>
    <t>2025-02-24 12:40:00+05:30</t>
  </si>
  <si>
    <t>2025-02-24 12:55:00+05:30</t>
  </si>
  <si>
    <t>2025-02-25 11:45:00+05:30</t>
  </si>
  <si>
    <t>2025-02-25 12:10:00+05:30</t>
  </si>
  <si>
    <t>2025-02-25 13:05:00+05:30</t>
  </si>
  <si>
    <t>2025-02-25 13:20:00+05:30</t>
  </si>
  <si>
    <t>2025-02-27 09:20:00+05:30</t>
  </si>
  <si>
    <t>2025-02-27 15:25:00+05:30</t>
  </si>
  <si>
    <t>2025-03-03 11:50:00+05:30</t>
  </si>
  <si>
    <t>2025-03-03 12:05:00+05:30</t>
  </si>
  <si>
    <t>2025-03-03 14:50:00+05:30</t>
  </si>
  <si>
    <t>2025-03-03 14:55:00+05:30</t>
  </si>
  <si>
    <t>2025-03-04 10:05:00+05:30</t>
  </si>
  <si>
    <t>2025-03-04 10:50:00+05:30</t>
  </si>
  <si>
    <t>2025-03-04 13:00:00+05:30</t>
  </si>
  <si>
    <t>2025-03-04 13:10:00+05:30</t>
  </si>
  <si>
    <t>2025-03-05 09:15:00+05:30</t>
  </si>
  <si>
    <t>2025-03-05 10:00:00+05:30</t>
  </si>
  <si>
    <t>2025-03-05 10:20:00+05:30</t>
  </si>
  <si>
    <t>2025-03-05 10:55:00+05:30</t>
  </si>
  <si>
    <t>2025-03-05 12:25:00+05:30</t>
  </si>
  <si>
    <t>2025-03-05 12:55:00+05:30</t>
  </si>
  <si>
    <t>2025-03-05 14:15:00+05:30</t>
  </si>
  <si>
    <t>2025-03-05 14:35:00+05:30</t>
  </si>
  <si>
    <t>2025-03-06 09:45:00+05:30</t>
  </si>
  <si>
    <t>2025-03-06 10:05:00+05:30</t>
  </si>
  <si>
    <t>2025-03-06 10:25:00+05:30</t>
  </si>
  <si>
    <t>2025-03-06 11:05:00+05:30</t>
  </si>
  <si>
    <t>2025-03-06 11:30:00+05:30</t>
  </si>
  <si>
    <t>2025-03-06 12:00:00+05:30</t>
  </si>
  <si>
    <t>2025-03-06 12:10:00+05:30</t>
  </si>
  <si>
    <t>2025-03-07 09:15:00+05:30</t>
  </si>
  <si>
    <t>2025-03-07 15:25:00+05:30</t>
  </si>
  <si>
    <t>2025-03-10 09:30:00+05:30</t>
  </si>
  <si>
    <t>2025-03-10 09:40:00+05:30</t>
  </si>
  <si>
    <t>2025-03-10 13:40:00+05:30</t>
  </si>
  <si>
    <t>2025-03-10 13:45:00+05:30</t>
  </si>
  <si>
    <t>2025-03-10 14:15:00+05:30</t>
  </si>
  <si>
    <t>2025-03-10 14:40:00+05:30</t>
  </si>
  <si>
    <t>2025-03-11 09:50:00+05:30</t>
  </si>
  <si>
    <t>2025-03-11 10:00:00+05:30</t>
  </si>
  <si>
    <t>2025-03-11 11:00:00+05:30</t>
  </si>
  <si>
    <t>2025-03-11 11:15:00+05:30</t>
  </si>
  <si>
    <t>2025-03-12 10:00:00+05:30</t>
  </si>
  <si>
    <t>2025-03-12 11:55:00+05:30</t>
  </si>
  <si>
    <t>2025-03-12 12:15:00+05:30</t>
  </si>
  <si>
    <t>2025-03-12 12:30:00+05:30</t>
  </si>
  <si>
    <t>2025-03-12 12:35:00+05:30</t>
  </si>
  <si>
    <t>2025-03-12 12:55:00+05:30</t>
  </si>
  <si>
    <t>2025-03-13 09:35:00+05:30</t>
  </si>
  <si>
    <t>2025-03-13 10:15:00+05:30</t>
  </si>
  <si>
    <t>2025-03-13 11:35:00+05:30</t>
  </si>
  <si>
    <t>2025-03-13 15:25:00+05:30</t>
  </si>
  <si>
    <t>2025-03-17 11:35:00+05:30</t>
  </si>
  <si>
    <t>2025-03-17 11:50:00+05:30</t>
  </si>
  <si>
    <t>2025-03-17 11:55:00+05:30</t>
  </si>
  <si>
    <t>2025-03-17 12:20:00+05:30</t>
  </si>
  <si>
    <t>2025-03-18 11:30:00+05:30</t>
  </si>
  <si>
    <t>2025-03-18 12:20:00+05:30</t>
  </si>
  <si>
    <t>2025-03-18 13:15:00+05:30</t>
  </si>
  <si>
    <t>2025-03-18 15:05:00+05:30</t>
  </si>
  <si>
    <t>2025-03-19 09:25:00+05:30</t>
  </si>
  <si>
    <t>2025-03-19 12:45:00+05:30</t>
  </si>
  <si>
    <t>2025-03-19 13:05:00+05:30</t>
  </si>
  <si>
    <t>2025-03-19 13:15:00+05:30</t>
  </si>
  <si>
    <t>2025-03-19 15:15:00+05:30</t>
  </si>
  <si>
    <t>2025-03-20 10:00:00+05:30</t>
  </si>
  <si>
    <t>2025-03-20 10:05:00+05:30</t>
  </si>
  <si>
    <t>2025-03-20 10:15:00+05:30</t>
  </si>
  <si>
    <t>2025-03-20 12:50:00+05:30</t>
  </si>
  <si>
    <t>2025-03-20 13:05:00+05:30</t>
  </si>
  <si>
    <t>2025-03-20 13:10:00+05:30</t>
  </si>
  <si>
    <t>2025-03-20 14:20:00+05:30</t>
  </si>
  <si>
    <t>2025-03-20 15:25:00+05:30</t>
  </si>
  <si>
    <t>2025-03-21 10:25:00+05:30</t>
  </si>
  <si>
    <t>2025-03-21 12:20:00+05:30</t>
  </si>
  <si>
    <t>2025-03-21 13:15:00+05:30</t>
  </si>
  <si>
    <t>2025-03-24 09:40:00+05:30</t>
  </si>
  <si>
    <t>2025-03-24 10:00:00+05:30</t>
  </si>
  <si>
    <t>2025-03-24 11:55:00+05:30</t>
  </si>
  <si>
    <t>2025-03-24 13:10:00+05:30</t>
  </si>
  <si>
    <t>2025-03-24 13:50:00+05:30</t>
  </si>
  <si>
    <t>2025-03-24 14:10:00+05:30</t>
  </si>
  <si>
    <t>2025-03-24 14:45:00+05:30</t>
  </si>
  <si>
    <t>2025-03-25 09:25:00+05:30</t>
  </si>
  <si>
    <t>2025-03-25 09:50:00+05:30</t>
  </si>
  <si>
    <t>2025-03-25 10:15:00+05:30</t>
  </si>
  <si>
    <t>2025-03-25 10:35:00+05:30</t>
  </si>
  <si>
    <t>2025-03-25 11:20:00+05:30</t>
  </si>
  <si>
    <t>2025-03-25 12:00:00+05:30</t>
  </si>
  <si>
    <t>2025-03-26 11:35:00+05:30</t>
  </si>
  <si>
    <t>2025-03-26 11:55:00+05:30</t>
  </si>
  <si>
    <t>2025-03-26 12:45:00+05:30</t>
  </si>
  <si>
    <t>2025-03-26 13:05:00+05:30</t>
  </si>
  <si>
    <t>2025-03-26 14:50:00+05:30</t>
  </si>
  <si>
    <t>2025-03-26 15:25:00+05:30</t>
  </si>
  <si>
    <t>2025-03-27 11:40:00+05:30</t>
  </si>
  <si>
    <t>2025-03-27 12:00:00+05:30</t>
  </si>
  <si>
    <t>2025-03-27 12:05:00+05:30</t>
  </si>
  <si>
    <t>2025-03-27 12:30:00+05:30</t>
  </si>
  <si>
    <t>2025-03-28 09:20:00+05:30</t>
  </si>
  <si>
    <t>2025-03-28 10:30:00+05:30</t>
  </si>
  <si>
    <t>2025-03-28 13:00:00+05:30</t>
  </si>
  <si>
    <t>2025-03-28 14:20:00+05:30</t>
  </si>
  <si>
    <t>2025-04-01 10:05:00+05:30</t>
  </si>
  <si>
    <t>2025-04-01 10:20:00+05:30</t>
  </si>
  <si>
    <t>2025-04-01 13:20:00+05:30</t>
  </si>
  <si>
    <t>2025-04-01 13:55:00+05:30</t>
  </si>
  <si>
    <t>2025-04-01 14:00:00+05:30</t>
  </si>
  <si>
    <t>2025-04-01 14:05:00+05:30</t>
  </si>
  <si>
    <t>2025-04-01 15:25:00+05:30</t>
  </si>
  <si>
    <t>2025-04-02 09:25:00+05:30</t>
  </si>
  <si>
    <t>2025-04-02 15:25:00+05:30</t>
  </si>
  <si>
    <t>2025-04-03 09:35:00+05:30</t>
  </si>
  <si>
    <t>2025-04-03 10:10:00+05:30</t>
  </si>
  <si>
    <t>2025-04-03 10:55:00+05:30</t>
  </si>
  <si>
    <t>2025-04-03 11:00:00+05:30</t>
  </si>
  <si>
    <t>2025-04-04 11:35:00+05:30</t>
  </si>
  <si>
    <t>2025-04-04 14:55:00+05:30</t>
  </si>
  <si>
    <t>2025-04-07 11:10:00+05:30</t>
  </si>
  <si>
    <t>2025-04-07 11:30:00+05:30</t>
  </si>
  <si>
    <t>2025-04-07 11:50:00+05:30</t>
  </si>
  <si>
    <t>2025-04-07 12:00:00+05:30</t>
  </si>
  <si>
    <t>2025-04-07 12:55:00+05:30</t>
  </si>
  <si>
    <t>2025-04-07 13:25:00+05:30</t>
  </si>
  <si>
    <t>2025-04-08 10:20:00+05:30</t>
  </si>
  <si>
    <t>2025-04-08 10:30:00+05:30</t>
  </si>
  <si>
    <t>2025-04-08 11:05:00+05:30</t>
  </si>
  <si>
    <t>2025-04-08 11:15:00+05:30</t>
  </si>
  <si>
    <t>2025-04-09 09:45:00+05:30</t>
  </si>
  <si>
    <t>2025-04-09 15:25:00+05:30</t>
  </si>
  <si>
    <t>2025-04-11 10:55:00+05:30</t>
  </si>
  <si>
    <t>2025-04-11 11:25:00+05:30</t>
  </si>
  <si>
    <t>2025-04-11 12:10:00+05:30</t>
  </si>
  <si>
    <t>2025-04-11 13:30:00+05:30</t>
  </si>
  <si>
    <t>2025-04-16 09:40:00+05:30</t>
  </si>
  <si>
    <t>2025-04-16 10:15:00+05:30</t>
  </si>
  <si>
    <t>2025-04-16 10:30:00+05:30</t>
  </si>
  <si>
    <t>2025-04-16 10:50:00+05:30</t>
  </si>
  <si>
    <t>2025-04-17 10:40:00+05:30</t>
  </si>
  <si>
    <t>2025-04-17 10:55:00+05:30</t>
  </si>
  <si>
    <t>2025-04-17 11:05:00+05:30</t>
  </si>
  <si>
    <t>2025-04-17 11:25:00+05:30</t>
  </si>
  <si>
    <t>2025-04-17 14:25:00+05:30</t>
  </si>
  <si>
    <t>2025-04-17 14:35:00+05:30</t>
  </si>
  <si>
    <t>2025-04-21 10:25:00+05:30</t>
  </si>
  <si>
    <t>2025-04-21 11:15:00+05:30</t>
  </si>
  <si>
    <t>2025-04-21 11:50:00+05:30</t>
  </si>
  <si>
    <t>2025-04-21 12:15:00+05:30</t>
  </si>
  <si>
    <t>2025-04-21 13:05:00+05:30</t>
  </si>
  <si>
    <t>2025-04-21 13:10:00+05:30</t>
  </si>
  <si>
    <t>2025-04-22 09:15:00+05:30</t>
  </si>
  <si>
    <t>2025-04-22 10:10:00+05:30</t>
  </si>
  <si>
    <t>2025-04-22 10:30:00+05:30</t>
  </si>
  <si>
    <t>2025-04-22 11:00:00+05:30</t>
  </si>
  <si>
    <t>2025-04-22 12:45:00+05:30</t>
  </si>
  <si>
    <t>2025-04-22 13:20:00+05:30</t>
  </si>
  <si>
    <t>2025-04-23 11:20:00+05:30</t>
  </si>
  <si>
    <t>2025-04-23 11:40:00+05:30</t>
  </si>
  <si>
    <t>2025-04-23 12:00:00+05:30</t>
  </si>
  <si>
    <t>2025-04-23 12:05:00+05:30</t>
  </si>
  <si>
    <t>2025-04-24 09:55:00+05:30</t>
  </si>
  <si>
    <t>2025-04-24 10:10:00+05:30</t>
  </si>
  <si>
    <t>2025-04-24 11:25:00+05:30</t>
  </si>
  <si>
    <t>2025-04-24 12:15:00+05:30</t>
  </si>
  <si>
    <t>2025-04-25 09:15:00+05:30</t>
  </si>
  <si>
    <t>2025-04-25 09:35:00+05:30</t>
  </si>
  <si>
    <t>2025-04-25 11:40:00+05:30</t>
  </si>
  <si>
    <t>2025-04-25 11:50:00+05:30</t>
  </si>
  <si>
    <t>2025-04-25 14:10:00+05:30</t>
  </si>
  <si>
    <t>2025-04-25 14:35:00+05:30</t>
  </si>
  <si>
    <t>2025-04-28 11:05:00+05:30</t>
  </si>
  <si>
    <t>2025-04-28 11:10:00+05:30</t>
  </si>
  <si>
    <t>2025-04-28 11:40:00+05:30</t>
  </si>
  <si>
    <t>2025-04-28 11:55:00+05:30</t>
  </si>
  <si>
    <t>2025-04-29 10:40:00+05:30</t>
  </si>
  <si>
    <t>2025-04-29 10:45:00+05:30</t>
  </si>
  <si>
    <t>2025-04-29 10:50:00+05:30</t>
  </si>
  <si>
    <t>2025-04-29 11:05:00+05:30</t>
  </si>
  <si>
    <t>2025-04-30 09:15:00+05:30</t>
  </si>
  <si>
    <t>2025-04-30 09:30:00+05:30</t>
  </si>
  <si>
    <t>2025-04-30 09:45:00+05:30</t>
  </si>
  <si>
    <t>2025-04-30 10:20:00+05:30</t>
  </si>
  <si>
    <t>2025-05-02 10:35:00+05:30</t>
  </si>
  <si>
    <t>2025-05-02 10:50:00+05:30</t>
  </si>
  <si>
    <t>2025-05-02 14:00:00+05:30</t>
  </si>
  <si>
    <t>2025-05-02 14:10:00+05:30</t>
  </si>
  <si>
    <t>2025-05-05 12:15:00+05:30</t>
  </si>
  <si>
    <t>2025-05-05 12:25:00+05:30</t>
  </si>
  <si>
    <t>2025-05-06 09:15:00+05:30</t>
  </si>
  <si>
    <t>2025-05-06 15:25:00+05:30</t>
  </si>
  <si>
    <t>2025-05-07 10:05:00+05:30</t>
  </si>
  <si>
    <t>2025-05-07 10:25:00+05:30</t>
  </si>
  <si>
    <t>2025-05-07 10:30:00+05:30</t>
  </si>
  <si>
    <t>2025-05-08 09:20:00+05:30</t>
  </si>
  <si>
    <t>2025-05-08 09:30:00+05:30</t>
  </si>
  <si>
    <t>2025-05-08 13:20:00+05:30</t>
  </si>
  <si>
    <t>2025-05-08 14:45:00+05:30</t>
  </si>
  <si>
    <t>2025-05-08 14:50:00+05:30</t>
  </si>
  <si>
    <t>2025-05-08 15:05:00+05:30</t>
  </si>
  <si>
    <t>2025-05-09 10:15:00+05:30</t>
  </si>
  <si>
    <t>2025-05-09 11:25:00+05:30</t>
  </si>
  <si>
    <t>2025-05-09 12:00:00+05:30</t>
  </si>
  <si>
    <t>2025-05-09 13:25:00+05:30</t>
  </si>
  <si>
    <t>2025-05-09 13:55:00+05:30</t>
  </si>
  <si>
    <t>2025-05-09 14:15:00+05:30</t>
  </si>
  <si>
    <t>2025-05-12 14:10:00+05:30</t>
  </si>
  <si>
    <t>2025-05-12 14:55:00+05:30</t>
  </si>
  <si>
    <t>2025-05-13 10:15:00+05:30</t>
  </si>
  <si>
    <t>2025-05-13 10:25:00+05:30</t>
  </si>
  <si>
    <t>2025-05-13 10:50:00+05:30</t>
  </si>
  <si>
    <t>2025-05-13 11:55:00+05:30</t>
  </si>
  <si>
    <t>2025-05-13 12:05:00+05:30</t>
  </si>
  <si>
    <t>2025-05-14 10:40:00+05:30</t>
  </si>
  <si>
    <t>2025-05-14 10:45:00+05:30</t>
  </si>
  <si>
    <t>2025-05-14 11:45:00+05:30</t>
  </si>
  <si>
    <t>2025-05-14 12:50:00+05:30</t>
  </si>
  <si>
    <t>2025-05-14 13:15:00+05:30</t>
  </si>
  <si>
    <t>2025-05-14 13:25:00+05:30</t>
  </si>
  <si>
    <t>2025-05-15 09:20:00+05:30</t>
  </si>
  <si>
    <t>2025-05-15 09:35:00+05:30</t>
  </si>
  <si>
    <t>2025-05-15 10:15:00+05:30</t>
  </si>
  <si>
    <t>2025-05-15 10:30:00+05:30</t>
  </si>
  <si>
    <t>2025-05-16 11:00:00+05:30</t>
  </si>
  <si>
    <t>2025-05-16 11:05:00+05:30</t>
  </si>
  <si>
    <t>2025-05-16 11:30:00+05:30</t>
  </si>
  <si>
    <t>2025-05-16 13:25:00+05:30</t>
  </si>
  <si>
    <t>2025-05-16 13:40:00+05:30</t>
  </si>
  <si>
    <t>2025-05-19 09:20:00+05:30</t>
  </si>
  <si>
    <t>2025-05-19 09:25:00+05:30</t>
  </si>
  <si>
    <t>2025-05-19 09:30:00+05:30</t>
  </si>
  <si>
    <t>2025-05-19 09:35:00+05:30</t>
  </si>
  <si>
    <t>2025-05-20 09:40:00+05:30</t>
  </si>
  <si>
    <t>2025-05-20 10:45:00+05:30</t>
  </si>
  <si>
    <t>2025-05-20 11:35:00+05:30</t>
  </si>
  <si>
    <t>2025-05-20 12:45:00+05:30</t>
  </si>
  <si>
    <t>2025-05-20 13:15:00+05:30</t>
  </si>
  <si>
    <t>2025-05-21 11:05:00+05:30</t>
  </si>
  <si>
    <t>2025-05-21 11:30:00+05:30</t>
  </si>
  <si>
    <t>2025-05-21 12:40:00+05:30</t>
  </si>
  <si>
    <t>2025-05-21 13:10:00+05:30</t>
  </si>
  <si>
    <t>2025-05-22 10:25:00+05:30</t>
  </si>
  <si>
    <t>2025-05-22 10:35:00+05:30</t>
  </si>
  <si>
    <t>2025-05-22 11:00:00+05:30</t>
  </si>
  <si>
    <t>2025-05-22 11:35:00+05:30</t>
  </si>
  <si>
    <t>2025-05-22 11:50:00+05:30</t>
  </si>
  <si>
    <t>2025-05-23 11:25:00+05:30</t>
  </si>
  <si>
    <t>2025-05-23 11:45:00+05:30</t>
  </si>
  <si>
    <t>2025-05-23 12:30:00+05:30</t>
  </si>
  <si>
    <t>2025-05-23 13:40:00+05:30</t>
  </si>
  <si>
    <t>2025-05-26 14:05:00+05:30</t>
  </si>
  <si>
    <t>2025-05-26 14:20:00+05:30</t>
  </si>
  <si>
    <t>2025-05-26 14:50:00+05:30</t>
  </si>
  <si>
    <t>2025-05-26 15:25:00+05:30</t>
  </si>
  <si>
    <t>2025-05-27 09:15:00+05:30</t>
  </si>
  <si>
    <t>2025-05-27 11:25:00+05:30</t>
  </si>
  <si>
    <t>2025-05-27 11:50:00+05:30</t>
  </si>
  <si>
    <t>2025-05-27 12:20:00+05:30</t>
  </si>
  <si>
    <t>2025-05-28 09:45:00+05:30</t>
  </si>
  <si>
    <t>2025-05-28 12:50:00+05:30</t>
  </si>
  <si>
    <t>2025-05-28 13:00:00+05:30</t>
  </si>
  <si>
    <t>2025-05-28 13:10:00+05:30</t>
  </si>
  <si>
    <t>2025-05-29 09:55:00+05:30</t>
  </si>
  <si>
    <t>2025-05-29 10:00:00+05:30</t>
  </si>
  <si>
    <t>2025-05-29 10:10:00+05:30</t>
  </si>
  <si>
    <t>2025-05-29 10:55:00+05:30</t>
  </si>
  <si>
    <t>2025-05-29 12:35:00+05:30</t>
  </si>
  <si>
    <t>2025-05-29 12:55:00+05:30</t>
  </si>
  <si>
    <t>2025-05-30 11:55:00+05:30</t>
  </si>
  <si>
    <t>2025-05-30 13:05:00+05:30</t>
  </si>
  <si>
    <t>2025-05-30 13:25:00+05:30</t>
  </si>
  <si>
    <t>2025-05-30 15:00:00+05:30</t>
  </si>
  <si>
    <t>2025-06-02 11:45:00+05:30</t>
  </si>
  <si>
    <t>2025-06-02 12:05:00+05:30</t>
  </si>
  <si>
    <t>2025-06-02 12:30:00+05:30</t>
  </si>
  <si>
    <t>2025-06-02 14:30:00+05:30</t>
  </si>
  <si>
    <t>2025-06-03 09:25:00+05:30</t>
  </si>
  <si>
    <t>2025-06-03 09:35:00+05:30</t>
  </si>
  <si>
    <t>2025-06-03 09:40:00+05:30</t>
  </si>
  <si>
    <t>2025-06-03 09:50:00+05:30</t>
  </si>
  <si>
    <t>2025-06-04 10:20:00+05:30</t>
  </si>
  <si>
    <t>2025-06-04 11:15:00+05:30</t>
  </si>
  <si>
    <t>2025-06-04 13:00:00+05:30</t>
  </si>
  <si>
    <t>2025-06-04 13:10:00+05:30</t>
  </si>
  <si>
    <t>2025-06-05 09:20:00+05:30</t>
  </si>
  <si>
    <t>2025-06-05 12:00:00+05:30</t>
  </si>
  <si>
    <t>2025-06-05 13:30:00+05:30</t>
  </si>
  <si>
    <t>2025-06-05 13:40:00+05:30</t>
  </si>
  <si>
    <t>2025-06-05 14:40:00+05:30</t>
  </si>
  <si>
    <t>2025-06-06 09:30:00+05:30</t>
  </si>
  <si>
    <t>2025-06-06 10:05:00+05:30</t>
  </si>
  <si>
    <t>2025-06-06 10:20:00+05:30</t>
  </si>
  <si>
    <t>2025-06-06 10:40:00+05:30</t>
  </si>
  <si>
    <t>2025-06-06 13:55:00+05:30</t>
  </si>
  <si>
    <t>2025-06-06 15:25:00+05:30</t>
  </si>
  <si>
    <t>2025-06-09 10:40:00+05:30</t>
  </si>
  <si>
    <t>2025-06-09 11:15:00+05:30</t>
  </si>
  <si>
    <t>2025-06-09 14:10:00+05:30</t>
  </si>
  <si>
    <t>2025-06-09 14:30:00+05:30</t>
  </si>
  <si>
    <t>2025-06-10 09:20:00+05:30</t>
  </si>
  <si>
    <t>2025-06-10 09:25:00+05:30</t>
  </si>
  <si>
    <t>2025-06-10 09:30:00+05:30</t>
  </si>
  <si>
    <t>2025-06-10 15:25:00+05:30</t>
  </si>
  <si>
    <t>2025-06-11 10:40:00+05:30</t>
  </si>
  <si>
    <t>2025-06-11 13:45:00+05:30</t>
  </si>
  <si>
    <t>2025-06-12 09:30:00+05:30</t>
  </si>
  <si>
    <t>2025-06-12 09:35:00+05:30</t>
  </si>
  <si>
    <t>2025-06-12 10:40:00+05:30</t>
  </si>
  <si>
    <t>2025-06-12 13:30:00+05:30</t>
  </si>
  <si>
    <t>2025-06-13 13:30:00+05:30</t>
  </si>
  <si>
    <t>2025-06-13 14:40:00+05:30</t>
  </si>
  <si>
    <t>2025-06-16 09:15:00+05:30</t>
  </si>
  <si>
    <t>2025-06-16 13:40:00+05:30</t>
  </si>
  <si>
    <t>2025-06-16 14:00:00+05:30</t>
  </si>
  <si>
    <t>2025-06-16 14:30:00+05:30</t>
  </si>
  <si>
    <t>2025-06-17 09:40:00+05:30</t>
  </si>
  <si>
    <t>2025-06-17 10:35:00+05:30</t>
  </si>
  <si>
    <t>2025-06-17 12:10:00+05:30</t>
  </si>
  <si>
    <t>2025-06-17 12:50:00+05:30</t>
  </si>
  <si>
    <t>2025-06-17 13:15:00+05:30</t>
  </si>
  <si>
    <t>2025-06-18 09:25:00+05:30</t>
  </si>
  <si>
    <t>2025-06-18 09:45:00+05:30</t>
  </si>
  <si>
    <t>2025-06-18 10:00:00+05:30</t>
  </si>
  <si>
    <t>2025-06-18 10:10:00+05:30</t>
  </si>
  <si>
    <t>2025-06-18 10:45:00+05:30</t>
  </si>
  <si>
    <t>2025-06-18 11:30:00+05:30</t>
  </si>
  <si>
    <t>2025-06-18 12:40:00+05:30</t>
  </si>
  <si>
    <t>2025-06-18 13:00:00+05:30</t>
  </si>
  <si>
    <t>2025-06-19 09:55:00+05:30</t>
  </si>
  <si>
    <t>2025-06-19 10:30:00+05:30</t>
  </si>
  <si>
    <t>2025-06-19 11:35:00+05:30</t>
  </si>
  <si>
    <t>2025-06-19 11:40:00+05:30</t>
  </si>
  <si>
    <t>2025-06-20 09:40:00+05:30</t>
  </si>
  <si>
    <t>2025-06-20 10:15:00+05:30</t>
  </si>
  <si>
    <t>2025-06-20 11:30:00+05:30</t>
  </si>
  <si>
    <t>2025-06-20 11:40:00+05:30</t>
  </si>
  <si>
    <t>2025-06-20 11:45:00+05:30</t>
  </si>
  <si>
    <t>2025-06-20 12:20:00+05:30</t>
  </si>
  <si>
    <t>2025-06-20 13:05:00+05:30</t>
  </si>
  <si>
    <t>2025-06-20 15:00:00+05:30</t>
  </si>
  <si>
    <t>2025-06-23 12:05:00+05:30</t>
  </si>
  <si>
    <t>2025-06-23 13:15:00+05:30</t>
  </si>
  <si>
    <t>2025-06-23 13:20:00+05:30</t>
  </si>
  <si>
    <t>2025-06-23 14:00:00+05:30</t>
  </si>
  <si>
    <t>2025-06-23 14:10:00+05:30</t>
  </si>
  <si>
    <t>2025-06-24 10:50:00+05:30</t>
  </si>
  <si>
    <t>2025-06-24 12:00:00+05:30</t>
  </si>
  <si>
    <t>2025-06-24 13:10:00+05:30</t>
  </si>
  <si>
    <t>2025-06-24 13:35:00+05:30</t>
  </si>
  <si>
    <t>2025-06-24 14:40:00+05:30</t>
  </si>
  <si>
    <t>2025-06-24 15:25:00+05:30</t>
  </si>
  <si>
    <t>2025-06-25 10:15:00+05:30</t>
  </si>
  <si>
    <t>2025-06-25 13:05:00+05:30</t>
  </si>
  <si>
    <t>2025-06-25 13:10:00+05:30</t>
  </si>
  <si>
    <t>2025-06-25 14:30:00+05:30</t>
  </si>
  <si>
    <t>2025-06-26 09:15:00+05:30</t>
  </si>
  <si>
    <t>2025-06-26 09:20:00+05:30</t>
  </si>
  <si>
    <t>2025-06-26 12:00:00+05:30</t>
  </si>
  <si>
    <t>2025-06-26 13:50:00+05:30</t>
  </si>
  <si>
    <t>2025-06-26 14:50:00+05:30</t>
  </si>
  <si>
    <t>2025-06-26 15:25:00+05:30</t>
  </si>
  <si>
    <t>2025-06-27 09:15:00+05:30</t>
  </si>
  <si>
    <t>2025-06-27 09:30:00+05:30</t>
  </si>
  <si>
    <t>2025-06-27 12:40:00+05:30</t>
  </si>
  <si>
    <t>2025-06-30 09:35:00+05:30</t>
  </si>
  <si>
    <t>2025-06-30 09:50:00+05:30</t>
  </si>
  <si>
    <t>2025-06-30 10:20:00+05:30</t>
  </si>
  <si>
    <t>2025-06-30 13:00:00+05:30</t>
  </si>
  <si>
    <t>2025-06-30 13:35:00+05:30</t>
  </si>
  <si>
    <t>2025-06-30 13:50:00+05:30</t>
  </si>
  <si>
    <t>2025-06-30 14:00:00+05:30</t>
  </si>
  <si>
    <t>2025-06-30 14:45:00+05:30</t>
  </si>
  <si>
    <t>2025-07-01 11:50:00+05:30</t>
  </si>
  <si>
    <t>2025-07-01 12:10:00+05:30</t>
  </si>
  <si>
    <t>2025-07-01 14:10:00+05:30</t>
  </si>
  <si>
    <t>2025-07-01 14:20:00+05:30</t>
  </si>
  <si>
    <t>2025-07-02 10:15:00+05:30</t>
  </si>
  <si>
    <t>2025-07-02 10:20:00+05:30</t>
  </si>
  <si>
    <t>2025-07-02 10:35:00+05:30</t>
  </si>
  <si>
    <t>2025-07-02 13:15:00+05:30</t>
  </si>
  <si>
    <t>2025-07-02 13:30:00+05:30</t>
  </si>
  <si>
    <t>2025-07-02 14:20:00+05:30</t>
  </si>
  <si>
    <t>2025-07-02 14:55:00+05:30</t>
  </si>
  <si>
    <t>2025-07-03 09:30:00+05:30</t>
  </si>
  <si>
    <t>2025-07-03 09:45:00+05:30</t>
  </si>
  <si>
    <t>2025-07-03 11:05:00+05:30</t>
  </si>
  <si>
    <t>2025-07-03 11:25:00+05:30</t>
  </si>
  <si>
    <t>2025-07-03 12:15:00+05:30</t>
  </si>
  <si>
    <t>2025-07-03 12:20:00+05:30</t>
  </si>
  <si>
    <t>2025-07-04 09:15:00+05:30</t>
  </si>
  <si>
    <t>2025-07-04 14:45:00+05:30</t>
  </si>
  <si>
    <t>2025-07-07 09:50:00+05:30</t>
  </si>
  <si>
    <t>2025-07-07 10:05:00+05:30</t>
  </si>
  <si>
    <t>2025-07-07 14:00:00+05:30</t>
  </si>
  <si>
    <t>2025-07-07 14:30:00+05:30</t>
  </si>
  <si>
    <t>2025-07-08 09:15:00+05:30</t>
  </si>
  <si>
    <t>2025-07-08 15:05:00+05:30</t>
  </si>
  <si>
    <t>2025-07-09 10:10:00+05:30</t>
  </si>
  <si>
    <t>2025-07-09 11:50:00+05:30</t>
  </si>
  <si>
    <t>2025-07-09 14:20:00+05:30</t>
  </si>
  <si>
    <t>2025-07-09 14:30:00+05:30</t>
  </si>
  <si>
    <t>2025-07-10 09:15:00+05:30</t>
  </si>
  <si>
    <t>2025-07-10 12:00:00+05:30</t>
  </si>
  <si>
    <t>2025-07-10 14:55:00+05:30</t>
  </si>
  <si>
    <t>2025-07-10 15:25:00+05:30</t>
  </si>
  <si>
    <t>2025-07-11 09:45:00+05:30</t>
  </si>
  <si>
    <t>2025-07-11 10:00:00+05:30</t>
  </si>
  <si>
    <t>2025-07-11 11:40:00+05:30</t>
  </si>
  <si>
    <t>2025-07-11 11:50:00+05:30</t>
  </si>
  <si>
    <t>2025-07-11 11:55:00+05:30</t>
  </si>
  <si>
    <t>2025-07-11 12:00:00+05:30</t>
  </si>
  <si>
    <t>2025-07-11 12:05:00+05:30</t>
  </si>
  <si>
    <t>2025-07-14 11:05:00+05:30</t>
  </si>
  <si>
    <t>2025-07-14 11:25:00+05:30</t>
  </si>
  <si>
    <t>2025-07-14 12:20:00+05:30</t>
  </si>
  <si>
    <t>2025-07-14 12:40:00+05:30</t>
  </si>
  <si>
    <t>2025-07-14 13:05:00+05:30</t>
  </si>
  <si>
    <t>2025-07-14 13:20:00+05:30</t>
  </si>
  <si>
    <t>2025-07-15 09:15:00+05:30</t>
  </si>
  <si>
    <t>2025-07-15 11:10:00+05:30</t>
  </si>
  <si>
    <t>2025-07-15 14:00:00+05:30</t>
  </si>
  <si>
    <t>2025-07-15 15:10:00+05:30</t>
  </si>
  <si>
    <t>2025-07-16 09:40:00+05:30</t>
  </si>
  <si>
    <t>2025-07-16 10:40:00+05:30</t>
  </si>
  <si>
    <t>2025-07-16 11:50:00+05:30</t>
  </si>
  <si>
    <t>2025-07-16 15:25:00+05:30</t>
  </si>
  <si>
    <t>2025-07-17 09:30:00+05:30</t>
  </si>
  <si>
    <t>2025-07-17 10:30:00+05:30</t>
  </si>
  <si>
    <t>2025-07-17 13:05:00+05:30</t>
  </si>
  <si>
    <t>2025-07-17 13:50:00+05:30</t>
  </si>
  <si>
    <t>2025-07-17 14:25:00+05:30</t>
  </si>
  <si>
    <t>2025-07-17 15:25:00+05:30</t>
  </si>
  <si>
    <t>2025-07-18 09:15:00+05:30</t>
  </si>
  <si>
    <t>2025-07-18 10:15:00+05:30</t>
  </si>
  <si>
    <t>2025-07-18 11:40:00+05:30</t>
  </si>
  <si>
    <t>2025-07-18 11:50:00+05:30</t>
  </si>
  <si>
    <t>2025-07-18 12:00:00+05:30</t>
  </si>
  <si>
    <t>2025-07-18 13:00:00+05:30</t>
  </si>
  <si>
    <t>2025-07-21 09:20:00+05:30</t>
  </si>
  <si>
    <t>2025-07-21 09:45:00+05:30</t>
  </si>
  <si>
    <t>2025-07-21 10:55:00+05:30</t>
  </si>
  <si>
    <t>2025-07-21 11:35:00+05:30</t>
  </si>
  <si>
    <t>2025-07-22 11:05:00+05:30</t>
  </si>
  <si>
    <t>2025-07-22 11:55:00+05:30</t>
  </si>
  <si>
    <t>2025-07-22 12:30:00+05:30</t>
  </si>
  <si>
    <t>2025-07-22 12:40:00+05:30</t>
  </si>
  <si>
    <t>2025-07-23 09:55:00+05:30</t>
  </si>
  <si>
    <t>2025-07-23 10:00:00+05:30</t>
  </si>
  <si>
    <t>2025-07-23 10:10:00+05:30</t>
  </si>
  <si>
    <t>2025-07-23 11:00:00+05:30</t>
  </si>
  <si>
    <t>2025-07-23 11:20:00+05:30</t>
  </si>
  <si>
    <t>2025-07-24 09:45:00+05:30</t>
  </si>
  <si>
    <t>2025-07-24 11:20:00+05:30</t>
  </si>
  <si>
    <t>2025-07-24 12:00:00+05:30</t>
  </si>
  <si>
    <t>2025-07-24 12:55:00+05:30</t>
  </si>
  <si>
    <t>2025-07-24 13:40:00+05:30</t>
  </si>
  <si>
    <t>2025-07-25 11:10:00+05:30</t>
  </si>
  <si>
    <t>2025-07-25 11:20:00+05:30</t>
  </si>
  <si>
    <t>2025-07-25 11:30:00+05:30</t>
  </si>
  <si>
    <t>2025-07-25 15:25:00+05:30</t>
  </si>
  <si>
    <t>2025-07-28 09:40:00+05:30</t>
  </si>
  <si>
    <t>2025-07-28 10:05:00+05:30</t>
  </si>
  <si>
    <t>2025-07-28 11:00:00+05:30</t>
  </si>
  <si>
    <t>2025-07-28 12:45:00+05:30</t>
  </si>
  <si>
    <t>2025-07-28 13:25:00+05:30</t>
  </si>
  <si>
    <t>2025-07-28 13:55:00+05:30</t>
  </si>
  <si>
    <t>2025-07-28 14:40:00+05:30</t>
  </si>
  <si>
    <t>2025-07-29 09:20:00+05:30</t>
  </si>
  <si>
    <t>2025-07-29 09:25:00+05:30</t>
  </si>
  <si>
    <t>2025-07-29 11:30:00+05:30</t>
  </si>
  <si>
    <t>2025-07-29 11:40:00+05:30</t>
  </si>
  <si>
    <t>2025-07-30 09:30:00+05:30</t>
  </si>
  <si>
    <t>2025-07-30 09:50:00+05:30</t>
  </si>
  <si>
    <t>2025-07-30 09:55:00+05:30</t>
  </si>
  <si>
    <t>2025-07-30 10:25:00+05:30</t>
  </si>
  <si>
    <t>2025-07-31 12:10:00+05:30</t>
  </si>
  <si>
    <t>2025-07-31 13:35:00+05:30</t>
  </si>
  <si>
    <t>2025-07-31 14:00:00+05:30</t>
  </si>
  <si>
    <t>2025-07-31 14:05:00+05:30</t>
  </si>
  <si>
    <t>2025-07-31 14:15:00+05:30</t>
  </si>
  <si>
    <t>2025-08-01 11:05:00+05:30</t>
  </si>
  <si>
    <t>2025-08-01 12:40:00+05:30</t>
  </si>
  <si>
    <t>2025-08-01 13:55:00+05:30</t>
  </si>
  <si>
    <t>2025-08-01 15:00:00+05:30</t>
  </si>
  <si>
    <t>2025-08-04 10:20:00+05:30</t>
  </si>
  <si>
    <t>2025-08-04 10:25:00+05:30</t>
  </si>
  <si>
    <t>2025-08-04 10:30:00+05:30</t>
  </si>
  <si>
    <t>2025-08-04 10:45:00+05:30</t>
  </si>
  <si>
    <t>2025-08-05 10:10:00+05:30</t>
  </si>
  <si>
    <t>2025-08-05 10:15:00+05:30</t>
  </si>
  <si>
    <t>2025-08-05 10:25:00+05:30</t>
  </si>
  <si>
    <t>2025-08-05 11:20:00+05:30</t>
  </si>
  <si>
    <t>2025-08-06 09:15:00+05:30</t>
  </si>
  <si>
    <t>2025-08-06 09:35:00+05:30</t>
  </si>
  <si>
    <t>2025-08-06 10:00:00+05:30</t>
  </si>
  <si>
    <t>2025-08-06 10:20:00+05:30</t>
  </si>
  <si>
    <t>2025-08-07 10:25:00+05:30</t>
  </si>
  <si>
    <t>2025-08-07 13:15:00+05:30</t>
  </si>
  <si>
    <t>2025-08-07 13:20:00+05:30</t>
  </si>
  <si>
    <t>2025-08-07 14:00:00+05:30</t>
  </si>
  <si>
    <t>2025-08-08 10:30:00+05:30</t>
  </si>
  <si>
    <t>2025-08-08 12:50:00+05:30</t>
  </si>
  <si>
    <t>2025-08-08 13:25:00+05:30</t>
  </si>
  <si>
    <t>2025-08-08 13:30:00+05:30</t>
  </si>
  <si>
    <t>2025-08-11 09:25:00+05:30</t>
  </si>
  <si>
    <t>2025-08-11 10:20:00+05:30</t>
  </si>
  <si>
    <t>2025-08-11 11:50:00+05:30</t>
  </si>
  <si>
    <t>2025-08-12 09:15:00+05:30</t>
  </si>
  <si>
    <t>2025-08-12 09:45:00+05:30</t>
  </si>
  <si>
    <t>2025-08-12 11:25:00+05:30</t>
  </si>
  <si>
    <t>2025-08-12 12:15:00+05:30</t>
  </si>
  <si>
    <t>2025-08-12 13:00:00+05:30</t>
  </si>
  <si>
    <t>2025-08-12 13:15:00+05:30</t>
  </si>
  <si>
    <t>2025-08-13 10:25:00+05:30</t>
  </si>
  <si>
    <t>2025-08-13 10:40:00+05:30</t>
  </si>
  <si>
    <t>2025-08-13 12:30:00+05:30</t>
  </si>
  <si>
    <t>2025-08-13 14:00:00+05:30</t>
  </si>
  <si>
    <t>2025-08-14 10:40:00+05:30</t>
  </si>
  <si>
    <t>2025-08-14 10:55:00+05:30</t>
  </si>
  <si>
    <t>2025-08-14 11:00:00+05:30</t>
  </si>
  <si>
    <t>2025-08-14 11:10:00+05:30</t>
  </si>
  <si>
    <t>2025-08-19 10:15:00+05:30</t>
  </si>
  <si>
    <t>2025-08-19 10:35:00+05:30</t>
  </si>
  <si>
    <t>2025-08-19 10:40:00+05:30</t>
  </si>
  <si>
    <t>2025-08-19 10:45:00+05:30</t>
  </si>
  <si>
    <t>2025-08-20 10:00:00+05:30</t>
  </si>
  <si>
    <t>2025-08-20 11:10:00+05:30</t>
  </si>
  <si>
    <t>2025-08-20 11:25:00+05:30</t>
  </si>
  <si>
    <t>2025-08-20 12:25:00+05:30</t>
  </si>
  <si>
    <t>2025-08-20 14:30:00+05:30</t>
  </si>
  <si>
    <t>2025-08-20 15:15:00+05:30</t>
  </si>
  <si>
    <t>2025-08-21 09:45:00+05:30</t>
  </si>
  <si>
    <t>2025-08-21 15:25:00+05:30</t>
  </si>
  <si>
    <t>2025-08-22 09:15:00+05:30</t>
  </si>
  <si>
    <t>2025-08-22 11:00:00+05:30</t>
  </si>
  <si>
    <t>2025-08-22 11:10:00+05:30</t>
  </si>
  <si>
    <t>2025-08-22 11:20:00+05:30</t>
  </si>
  <si>
    <t>2025-08-22 14:15:00+05:30</t>
  </si>
  <si>
    <t>2025-08-22 14:30:00+05:30</t>
  </si>
  <si>
    <t>2025-08-22 15:25:00+05:30</t>
  </si>
  <si>
    <t>2025-08-25 11:55:00+05:30</t>
  </si>
  <si>
    <t>2025-08-25 12:45:00+05:30</t>
  </si>
  <si>
    <t>2025-08-26 10:30:00+05:30</t>
  </si>
  <si>
    <t>2025-08-26 11:00:00+05:30</t>
  </si>
  <si>
    <t>2025-08-26 14:40:00+05:30</t>
  </si>
  <si>
    <t>2025-08-26 15:00:00+05:30</t>
  </si>
  <si>
    <t>2025-08-28 10:05:00+05:30</t>
  </si>
  <si>
    <t>2025-08-28 10:30:00+05:30</t>
  </si>
  <si>
    <t>2025-08-28 11:30:00+05:30</t>
  </si>
  <si>
    <t>2025-08-28 11:50:00+05:30</t>
  </si>
  <si>
    <t>2025-08-29 09:45:00+05:30</t>
  </si>
  <si>
    <t>2025-08-29 10:20:00+05:30</t>
  </si>
  <si>
    <t>2025-08-29 11:00:00+05:30</t>
  </si>
  <si>
    <t>2025-08-29 12:30:00+05:30</t>
  </si>
  <si>
    <t>2025-09-01 12:25:00+05:30</t>
  </si>
  <si>
    <t>2025-09-01 12:50:00+05:30</t>
  </si>
  <si>
    <t>2025-09-01 13:05:00+05:30</t>
  </si>
  <si>
    <t>2025-09-01 14:05:00+05:30</t>
  </si>
  <si>
    <t>2025-09-01 14:55:00+05:30</t>
  </si>
  <si>
    <t>2025-09-01 15:00:00+05:30</t>
  </si>
  <si>
    <t>2025-09-02 09:25:00+05:30</t>
  </si>
  <si>
    <t>2025-09-02 09:45:00+05:30</t>
  </si>
  <si>
    <t>2025-09-02 10:40:00+05:30</t>
  </si>
  <si>
    <t>2025-09-02 11:20:00+05:30</t>
  </si>
  <si>
    <t>2025-09-02 13:40:00+05:30</t>
  </si>
  <si>
    <t>2025-09-02 14:00:00+05:30</t>
  </si>
  <si>
    <t>2025-09-02 14:50:00+05:30</t>
  </si>
  <si>
    <t>2025-09-02 15:25:00+05:30</t>
  </si>
  <si>
    <t>2025-09-03 09:15:00+05:30</t>
  </si>
  <si>
    <t>2025-09-03 12:10:00+05:30</t>
  </si>
  <si>
    <t>2025-09-03 12:50:00+05:30</t>
  </si>
  <si>
    <t>2025-09-04 10:20:00+05:30</t>
  </si>
  <si>
    <t>2025-09-04 10:25:00+05:30</t>
  </si>
  <si>
    <t>2025-09-04 12:05:00+05:30</t>
  </si>
  <si>
    <t>2025-09-04 13:00:00+05:30</t>
  </si>
  <si>
    <t>2025-09-05 09:30:00+05:30</t>
  </si>
  <si>
    <t>2025-09-05 09:35:00+05:30</t>
  </si>
  <si>
    <t>2025-09-05 09:45:00+05:30</t>
  </si>
  <si>
    <t>2025-09-05 10:00:00+05:30</t>
  </si>
  <si>
    <t>2025-09-08 09:25:00+05:30</t>
  </si>
  <si>
    <t>2025-09-08 09:35:00+05:30</t>
  </si>
  <si>
    <t>2025-09-08 10:00:00+05:30</t>
  </si>
  <si>
    <t>2025-09-08 10:10:00+05:30</t>
  </si>
  <si>
    <t>2025-09-08 11:25:00+05:30</t>
  </si>
  <si>
    <t>2025-09-08 12:40:00+05:30</t>
  </si>
  <si>
    <t>2025-09-08 14:30:00+05:30</t>
  </si>
  <si>
    <t>2025-09-08 14:45:00+05:30</t>
  </si>
  <si>
    <t>2025-09-09 10:35:00+05:30</t>
  </si>
  <si>
    <t>2025-09-09 11:00:00+05:30</t>
  </si>
  <si>
    <t>2025-09-09 11:20:00+05:30</t>
  </si>
  <si>
    <t>2025-09-09 11:30:00+05:30</t>
  </si>
  <si>
    <t>2025-09-10 10:50:00+05:30</t>
  </si>
  <si>
    <t>2025-09-10 11:15:00+05:30</t>
  </si>
  <si>
    <t>2025-09-10 13:10:00+05:30</t>
  </si>
  <si>
    <t>2025-09-10 14:05:00+05:30</t>
  </si>
  <si>
    <t>2025-09-11 09:15:00+05:30</t>
  </si>
  <si>
    <t>2025-09-11 15:25:00+05:30</t>
  </si>
  <si>
    <t>2025-09-12 09:25:00+05:30</t>
  </si>
  <si>
    <t>2025-09-12 11:05:00+05:30</t>
  </si>
  <si>
    <t>2025-09-12 11:30:00+05:30</t>
  </si>
  <si>
    <t>2025-09-15 09:30:00+05:30</t>
  </si>
  <si>
    <t>2025-09-15 12:00:00+05:30</t>
  </si>
  <si>
    <t>2025-09-15 13:20:00+05:30</t>
  </si>
  <si>
    <t>2025-09-15 13:40:00+05:30</t>
  </si>
  <si>
    <t>2025-09-16 12:20:00+05:30</t>
  </si>
  <si>
    <t>2025-09-16 13:20:00+05:30</t>
  </si>
  <si>
    <t>2025-09-16 14:05:00+05:30</t>
  </si>
  <si>
    <t>2025-09-16 14:15:00+05:30</t>
  </si>
  <si>
    <t>2025-09-17 10:20:00+05:30</t>
  </si>
  <si>
    <t>2025-09-17 14:00:00+05:30</t>
  </si>
  <si>
    <t>2025-09-18 13:00:00+05:30</t>
  </si>
  <si>
    <t>2025-09-18 14:50:00+05:30</t>
  </si>
  <si>
    <t>2025-09-19 10:30:00+05:30</t>
  </si>
  <si>
    <t>2025-09-19 13:25:00+05:30</t>
  </si>
  <si>
    <t>2025-09-22 13:30:00+05:30</t>
  </si>
  <si>
    <t>2025-09-22 14:25:00+05:30</t>
  </si>
  <si>
    <t>2025-09-22 14:40:00+05:30</t>
  </si>
  <si>
    <t>2025-09-23 09:20:00+05:30</t>
  </si>
  <si>
    <t>2025-09-23 09:40:00+05:30</t>
  </si>
  <si>
    <t>2025-09-23 10:10:00+05:30</t>
  </si>
  <si>
    <t>2025-09-23 10:20:00+05:30</t>
  </si>
  <si>
    <t>2025-09-23 11:10:00+05:30</t>
  </si>
  <si>
    <t>2025-09-23 11:55:00+05:30</t>
  </si>
  <si>
    <t>2025-09-23 13:00:00+05:30</t>
  </si>
  <si>
    <t>2025-09-23 14:05:00+05:30</t>
  </si>
  <si>
    <t>2025-09-23 14:10:00+05:30</t>
  </si>
  <si>
    <t>2025-09-24 10:40:00+05:30</t>
  </si>
  <si>
    <t>2025-09-24 11:05:00+05:30</t>
  </si>
  <si>
    <t>2025-09-24 12:50:00+05:30</t>
  </si>
  <si>
    <t>2025-09-24 13:15:00+05:30</t>
  </si>
  <si>
    <t>2025-09-24 13:50:00+05:30</t>
  </si>
  <si>
    <t>2025-09-24 13:55:00+05:30</t>
  </si>
  <si>
    <t>2025-09-24 14:30:00+05:30</t>
  </si>
  <si>
    <t>2025-09-24 14:35:00+05:30</t>
  </si>
  <si>
    <t>2025-09-25 09:25:00+05:30</t>
  </si>
  <si>
    <t>2025-09-25 11:40:00+05:30</t>
  </si>
  <si>
    <t>2025-09-25 14:35:00+05:30</t>
  </si>
  <si>
    <t>2025-09-25 14:40:00+05:30</t>
  </si>
  <si>
    <t>2025-09-25 15:00:00+05:30</t>
  </si>
  <si>
    <t>2025-09-26 10:00:00+05:30</t>
  </si>
  <si>
    <t>2025-09-26 11:15:00+05:30</t>
  </si>
  <si>
    <t>2025-09-26 11:30:00+05:30</t>
  </si>
  <si>
    <t>2025-09-26 11:50:00+05:30</t>
  </si>
  <si>
    <t>2025-09-26 13:20:00+05:30</t>
  </si>
  <si>
    <t>2025-09-26 13:30:00+05:30</t>
  </si>
  <si>
    <t>2025-09-26 14:50:00+05:30</t>
  </si>
  <si>
    <t>2025-09-26 15:25:00+05:30</t>
  </si>
  <si>
    <t>2025-09-29 12:35:00+05:30</t>
  </si>
  <si>
    <t>2025-09-29 13:00:00+05:30</t>
  </si>
  <si>
    <t>2025-09-29 13:55:00+05:30</t>
  </si>
  <si>
    <t>2025-09-29 14:45:00+05:30</t>
  </si>
  <si>
    <t>2025-09-30 10:05:00+05:30</t>
  </si>
  <si>
    <t>2025-09-30 11:20:00+05:30</t>
  </si>
  <si>
    <t>2025-09-30 13:50:00+05:30</t>
  </si>
  <si>
    <t>2025-09-30 14:20:00+05:30</t>
  </si>
  <si>
    <t>2025-09-30 14:45:00+05:30</t>
  </si>
  <si>
    <t>2025-09-30 15:25:00+05:30</t>
  </si>
  <si>
    <t>2025-10-01 09:15:00+05:30</t>
  </si>
  <si>
    <t>2025-10-01 09:30:00+05:30</t>
  </si>
  <si>
    <t>2025-10-01 10:10:00+05:30</t>
  </si>
  <si>
    <t>2025-10-01 10:20:00+05:30</t>
  </si>
  <si>
    <t>2025-10-03 11:30:00+05:30</t>
  </si>
  <si>
    <t>2025-10-03 12:20:00+05:30</t>
  </si>
  <si>
    <t>2025-10-03 14:35:00+05:30</t>
  </si>
  <si>
    <t>2025-10-03 15:25:00+05:30</t>
  </si>
  <si>
    <t>2025-10-06 09:30:00+05:30</t>
  </si>
  <si>
    <t>2025-10-06 10:10:00+05:30</t>
  </si>
  <si>
    <t>2025-10-06 10:30:00+05:30</t>
  </si>
  <si>
    <t>2025-10-06 12:45:00+05:30</t>
  </si>
  <si>
    <t>2025-10-06 12:55:00+05:30</t>
  </si>
  <si>
    <t>2025-10-06 13:30:00+05:30</t>
  </si>
  <si>
    <t>2025-10-06 13:50:00+05:30</t>
  </si>
  <si>
    <t>2025-10-06 15:25:00+05:30</t>
  </si>
  <si>
    <t>2025-10-07 09:20:00+05:30</t>
  </si>
  <si>
    <t>2025-10-07 09:50:00+05:30</t>
  </si>
  <si>
    <t>2025-10-07 10:35:00+05:30</t>
  </si>
  <si>
    <t>2025-10-07 10:50:00+05:30</t>
  </si>
  <si>
    <t>2025-10-07 11:35:00+05:30</t>
  </si>
  <si>
    <t>2025-10-07 11:55:00+05:30</t>
  </si>
  <si>
    <t>2025-10-08 09:55:00+05:30</t>
  </si>
  <si>
    <t>2025-10-08 10:00:00+05:30</t>
  </si>
  <si>
    <t>2025-10-08 10:05:00+05:30</t>
  </si>
  <si>
    <t>2025-10-08 10:10:00+05:30</t>
  </si>
  <si>
    <t>2025-10-09 09:55:00+05:30</t>
  </si>
  <si>
    <t>2025-10-09 10:15:00+05:30</t>
  </si>
  <si>
    <t>2025-10-09 10:55:00+05:30</t>
  </si>
  <si>
    <t>2025-10-09 11:05:00+05:30</t>
  </si>
  <si>
    <t>2025-10-09 13:50:00+05:30</t>
  </si>
  <si>
    <t>2025-10-09 14:10:00+05:30</t>
  </si>
  <si>
    <t>2025-10-10 09:15:00+05:30</t>
  </si>
  <si>
    <t>2025-10-10 15:25:00+05:30</t>
  </si>
  <si>
    <t>2025-10-13 09:50:00+05:30</t>
  </si>
  <si>
    <t>2025-10-13 14:20:00+05:30</t>
  </si>
  <si>
    <t>2025-10-13 15:25:00+05:30</t>
  </si>
  <si>
    <t>2025-10-14 11:05:00+05:30</t>
  </si>
  <si>
    <t>2025-10-14 11:25:00+05:30</t>
  </si>
  <si>
    <t>2025-10-14 12:25:00+05:30</t>
  </si>
  <si>
    <t>2025-10-14 13:30:00+05:30</t>
  </si>
  <si>
    <t>2025-10-14 14:20:00+05:30</t>
  </si>
  <si>
    <t>2025-10-14 15:25:00+05:30</t>
  </si>
  <si>
    <t>2025-10-15 09:15:00+05:30</t>
  </si>
  <si>
    <t>2025-10-15 15:25:00+05:30</t>
  </si>
  <si>
    <t>2025-10-16 10:15:00+05:30</t>
  </si>
  <si>
    <t>2025-10-16 12:10:00+05:30</t>
  </si>
  <si>
    <t>2025-10-16 12:20:00+05:30</t>
  </si>
  <si>
    <t>2025-10-16 13:00:00+05:30</t>
  </si>
  <si>
    <t>2025-10-16 14:00:00+05:30</t>
  </si>
  <si>
    <t>2025-10-16 14:20:00+05:30</t>
  </si>
  <si>
    <t>2025-10-16 15:25:00+05:30</t>
  </si>
  <si>
    <t>2025-10-17 09:50:00+05:30</t>
  </si>
  <si>
    <t>2025-10-17 10:05:00+05:30</t>
  </si>
  <si>
    <t>2025-10-17 11:45:00+05:30</t>
  </si>
  <si>
    <t>2025-10-17 11:50:00+05:30</t>
  </si>
  <si>
    <t>2025-10-17 11:55:00+05:30</t>
  </si>
  <si>
    <t>2025-10-17 12:45:00+05:30</t>
  </si>
  <si>
    <t>2025-10-20 10:00:00+05:30</t>
  </si>
  <si>
    <t>2025-10-20 15:25:00+05:30</t>
  </si>
  <si>
    <t>2025-10-23 10:35:00+05:30</t>
  </si>
  <si>
    <t>2025-10-23 10:45:00+05:30</t>
  </si>
  <si>
    <t>2025-10-23 12:20:00+05:30</t>
  </si>
  <si>
    <t>2025-10-23 12:55:00+05:30</t>
  </si>
  <si>
    <t>2025-10-24 09:15:00+05:30</t>
  </si>
  <si>
    <t>2025-10-24 15:25:00+05:30</t>
  </si>
  <si>
    <t>2025-10-27 10:55:00+05:30</t>
  </si>
  <si>
    <t>2025-10-27 11:45:00+05:30</t>
  </si>
  <si>
    <t>2025-10-27 11:55:00+05:30</t>
  </si>
  <si>
    <t>2025-10-27 12:25:00+05:30</t>
  </si>
  <si>
    <t>2025-10-28 09:15:00+05:30</t>
  </si>
  <si>
    <t>2025-10-28 10:00:00+05:30</t>
  </si>
  <si>
    <t>2025-10-28 13:05:00+05:30</t>
  </si>
  <si>
    <t>2025-10-28 13:15:00+05:30</t>
  </si>
  <si>
    <t>2025-10-29 09:50:00+05:30</t>
  </si>
  <si>
    <t>2025-10-29 10:25:00+05:30</t>
  </si>
  <si>
    <t>2025-10-29 10:55:00+05:30</t>
  </si>
  <si>
    <t>2025-10-29 11:10:00+05:30</t>
  </si>
  <si>
    <t>2025-10-29 11:20:00+05:30</t>
  </si>
  <si>
    <t>2025-10-29 13:10:00+05:30</t>
  </si>
  <si>
    <t>2025-10-29 13:30:00+05:30</t>
  </si>
  <si>
    <t>2025-10-29 13:55:00+05:30</t>
  </si>
  <si>
    <t>2025-10-30 10:25:00+05:30</t>
  </si>
  <si>
    <t>2025-10-30 11:10:00+05:30</t>
  </si>
  <si>
    <t>2025-10-30 11:50:00+05:30</t>
  </si>
  <si>
    <t>2025-10-30 14:55:00+05:30</t>
  </si>
  <si>
    <t>2025-10-31 13:35:00+05:30</t>
  </si>
  <si>
    <t>2025-10-31 14:00:00+05:30</t>
  </si>
  <si>
    <t>2025-10-31 14:15:00+05:30</t>
  </si>
  <si>
    <t>2025-10-31 14:25:00+05:30</t>
  </si>
  <si>
    <t>2025-11-03 12:05:00+05:30</t>
  </si>
  <si>
    <t>2025-11-03 12:20:00+05:30</t>
  </si>
  <si>
    <t>2025-11-03 13:05:00+05:30</t>
  </si>
  <si>
    <t>2025-11-03 13:45:00+05:30</t>
  </si>
  <si>
    <t>2025-11-04 09:25:00+05:30</t>
  </si>
  <si>
    <t>2025-11-04 10:15:00+05:30</t>
  </si>
  <si>
    <t>2025-11-04 11:00:00+05:30</t>
  </si>
  <si>
    <t>2025-11-04 13:20:00+05:30</t>
  </si>
  <si>
    <t>2025-11-04 13:30:00+05:30</t>
  </si>
  <si>
    <t>2025-11-04 13:35:00+05:30</t>
  </si>
  <si>
    <t>2025-11-04 14:00:00+05:30</t>
  </si>
  <si>
    <t>2025-11-04 14:10:00+05:30</t>
  </si>
  <si>
    <t>2025-11-04 15:25:00+05:30</t>
  </si>
  <si>
    <t>2025-11-06 10:05:00+05:30</t>
  </si>
  <si>
    <t>2025-11-06 15:25:00+05:30</t>
  </si>
  <si>
    <t>2025-11-07 12:00:00+05:30</t>
  </si>
  <si>
    <t>2025-11-07 12:50:00+05:30</t>
  </si>
  <si>
    <t>2025-11-07 12:55:00+05:30</t>
  </si>
  <si>
    <t>2025-11-07 13:25:00+05:30</t>
  </si>
  <si>
    <t>2025-11-07 14:00:00+05:30</t>
  </si>
  <si>
    <t>2025-11-10 09:25:00+05:30</t>
  </si>
  <si>
    <t>2025-11-10 09:50:00+05:30</t>
  </si>
  <si>
    <t>2025-11-10 10:05:00+05:30</t>
  </si>
  <si>
    <t>2025-11-10 10:15:00+05:30</t>
  </si>
  <si>
    <t>2025-11-10 11:00:00+05:30</t>
  </si>
  <si>
    <t>2025-11-10 13:40:00+05:30</t>
  </si>
  <si>
    <t>2025-11-11 09:15:00+05:30</t>
  </si>
  <si>
    <t>2025-11-11 13:35:00+05:30</t>
  </si>
  <si>
    <t>2025-11-11 14:15:00+05:30</t>
  </si>
  <si>
    <t>2025-11-11 15:25:00+05:30</t>
  </si>
  <si>
    <t>2025-11-12 10:30:00+05:30</t>
  </si>
  <si>
    <t>2025-11-12 12:35:00+05:30</t>
  </si>
  <si>
    <t>2025-11-12 12:50:00+05:30</t>
  </si>
  <si>
    <t>2025-11-12 12:55:00+05:30</t>
  </si>
  <si>
    <t>2025-11-12 14:05:00+05:30</t>
  </si>
  <si>
    <t>2025-11-13 09:15:00+05:30</t>
  </si>
  <si>
    <t>2025-11-13 10:15:00+05:30</t>
  </si>
  <si>
    <t>2025-11-13 10:20:00+05:30</t>
  </si>
  <si>
    <t>2025-11-13 11:00:00+05:30</t>
  </si>
  <si>
    <t>2025-11-13 11:35:00+05:30</t>
  </si>
  <si>
    <t>2025-11-13 12:35:00+05:30</t>
  </si>
  <si>
    <t>2025-11-14 09:35:00+05:30</t>
  </si>
  <si>
    <t>2025-11-14 10:40:00+05:30</t>
  </si>
  <si>
    <t>2025-11-14 11:40:00+05:30</t>
  </si>
  <si>
    <t>2025-11-14 11:50:00+05:30</t>
  </si>
  <si>
    <t>2025-11-14 11:55:00+05:30</t>
  </si>
  <si>
    <t>2025-11-14 12:05:00+05:30</t>
  </si>
  <si>
    <t>2025-11-17 10:15:00+05:30</t>
  </si>
  <si>
    <t>2025-11-17 10:25:00+05:30</t>
  </si>
  <si>
    <t>2025-11-17 12:05:00+05:30</t>
  </si>
  <si>
    <t>2025-11-17 14:00:00+05:30</t>
  </si>
  <si>
    <t>2025-11-17 14:15:00+05:30</t>
  </si>
  <si>
    <t>2025-11-18 09:45:00+05:30</t>
  </si>
  <si>
    <t>2025-11-18 11:45:00+05:30</t>
  </si>
  <si>
    <t>2025-11-18 13:15:00+05:30</t>
  </si>
  <si>
    <t>2025-11-18 14:05:00+05:30</t>
  </si>
  <si>
    <t>2025-11-18 14:10:00+05:30</t>
  </si>
  <si>
    <t>2025-11-18 14:20:00+05:30</t>
  </si>
  <si>
    <t>2025-11-19 09:15:00+05:30</t>
  </si>
  <si>
    <t>2025-11-19 10:05:00+05:30</t>
  </si>
  <si>
    <t>2025-11-19 10:50:00+05:30</t>
  </si>
  <si>
    <t>2025-11-19 11:00:00+05:30</t>
  </si>
  <si>
    <t>2025-11-20 09:45:00+05:30</t>
  </si>
  <si>
    <t>2025-11-20 10:40:00+05:30</t>
  </si>
  <si>
    <t>2025-11-20 11:30:00+05:30</t>
  </si>
  <si>
    <t>2025-11-20 11:45:00+05:30</t>
  </si>
  <si>
    <t>2025-11-20 13:25:00+05:30</t>
  </si>
  <si>
    <t>2025-11-20 14:15:00+05:30</t>
  </si>
  <si>
    <t>2025-11-20 14:35:00+05:30</t>
  </si>
  <si>
    <t>2025-11-20 14:40:00+05:30</t>
  </si>
  <si>
    <t>2025-11-21 09:40:00+05:30</t>
  </si>
  <si>
    <t>2025-11-21 10:15:00+05:30</t>
  </si>
  <si>
    <t>Metric</t>
  </si>
  <si>
    <t>Value</t>
  </si>
  <si>
    <t>Total Trades</t>
  </si>
  <si>
    <t>Equity</t>
  </si>
  <si>
    <t>Peak</t>
  </si>
  <si>
    <t>Drawdown</t>
  </si>
  <si>
    <t>Winning Trades</t>
  </si>
  <si>
    <t>Accuracy%</t>
  </si>
  <si>
    <t>Total PnL</t>
  </si>
  <si>
    <t>Max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</si>
</sst>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77777777777778E-2"/>
          <c:y val="0.1037934248714753"/>
          <c:w val="0.89143663457996958"/>
          <c:h val="0.80339906547514595"/>
        </c:manualLayout>
      </c:layout>
      <c:lineChart>
        <c:grouping val="standard"/>
        <c:varyColors val="0"/>
        <c:ser>
          <c:idx val="0"/>
          <c:order val="0"/>
          <c:tx>
            <c:strRef>
              <c:f>TradeData!$L$1</c:f>
              <c:strCache>
                <c:ptCount val="1"/>
                <c:pt idx="0">
                  <c:v>Equity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TradeData!$L$2:$L$584</c:f>
              <c:numCache>
                <c:formatCode>General</c:formatCode>
                <c:ptCount val="583"/>
                <c:pt idx="0">
                  <c:v>36</c:v>
                </c:pt>
                <c:pt idx="1">
                  <c:v>-3</c:v>
                </c:pt>
                <c:pt idx="2">
                  <c:v>56.200000000004302</c:v>
                </c:pt>
                <c:pt idx="3">
                  <c:v>17.6500000000051</c:v>
                </c:pt>
                <c:pt idx="4">
                  <c:v>8.3500000000021899</c:v>
                </c:pt>
                <c:pt idx="5">
                  <c:v>78.750000000003581</c:v>
                </c:pt>
                <c:pt idx="6">
                  <c:v>59.95000000000438</c:v>
                </c:pt>
                <c:pt idx="7">
                  <c:v>36.100000000005878</c:v>
                </c:pt>
                <c:pt idx="8">
                  <c:v>159.90000000000788</c:v>
                </c:pt>
                <c:pt idx="9">
                  <c:v>80.650000000007878</c:v>
                </c:pt>
                <c:pt idx="10">
                  <c:v>179.45000000001079</c:v>
                </c:pt>
                <c:pt idx="11">
                  <c:v>95.300000000012986</c:v>
                </c:pt>
                <c:pt idx="12">
                  <c:v>66.450000000014484</c:v>
                </c:pt>
                <c:pt idx="13">
                  <c:v>15.200000000014484</c:v>
                </c:pt>
                <c:pt idx="14">
                  <c:v>-4.9499999999869146</c:v>
                </c:pt>
                <c:pt idx="15">
                  <c:v>-32.299999999985417</c:v>
                </c:pt>
                <c:pt idx="16">
                  <c:v>-54.599999999984618</c:v>
                </c:pt>
                <c:pt idx="17">
                  <c:v>-27.899999999980317</c:v>
                </c:pt>
                <c:pt idx="18">
                  <c:v>30.600000000019683</c:v>
                </c:pt>
                <c:pt idx="19">
                  <c:v>5.0000000000175824</c:v>
                </c:pt>
                <c:pt idx="20">
                  <c:v>65.600000000023385</c:v>
                </c:pt>
                <c:pt idx="21">
                  <c:v>42.100000000023385</c:v>
                </c:pt>
                <c:pt idx="22">
                  <c:v>46.850000000023385</c:v>
                </c:pt>
                <c:pt idx="23">
                  <c:v>34.100000000023385</c:v>
                </c:pt>
                <c:pt idx="24">
                  <c:v>85.700000000021888</c:v>
                </c:pt>
                <c:pt idx="25">
                  <c:v>70.950000000021888</c:v>
                </c:pt>
                <c:pt idx="26">
                  <c:v>191.55000000001991</c:v>
                </c:pt>
                <c:pt idx="27">
                  <c:v>314.75000000002387</c:v>
                </c:pt>
                <c:pt idx="28">
                  <c:v>349.05000000002678</c:v>
                </c:pt>
                <c:pt idx="29">
                  <c:v>319.60000000002606</c:v>
                </c:pt>
                <c:pt idx="30">
                  <c:v>378.00000000002746</c:v>
                </c:pt>
                <c:pt idx="31">
                  <c:v>358.20000000002824</c:v>
                </c:pt>
                <c:pt idx="32">
                  <c:v>334.20000000002824</c:v>
                </c:pt>
                <c:pt idx="33">
                  <c:v>298.60000000002975</c:v>
                </c:pt>
                <c:pt idx="34">
                  <c:v>255.15000000002905</c:v>
                </c:pt>
                <c:pt idx="35">
                  <c:v>238.35000000002987</c:v>
                </c:pt>
                <c:pt idx="36">
                  <c:v>216.25000000003138</c:v>
                </c:pt>
                <c:pt idx="37">
                  <c:v>192.85000000003359</c:v>
                </c:pt>
                <c:pt idx="38">
                  <c:v>125.30000000003439</c:v>
                </c:pt>
                <c:pt idx="39">
                  <c:v>57.950000000035885</c:v>
                </c:pt>
                <c:pt idx="40">
                  <c:v>146.25000000003877</c:v>
                </c:pt>
                <c:pt idx="41">
                  <c:v>103.05000000003807</c:v>
                </c:pt>
                <c:pt idx="42">
                  <c:v>172.75000000004235</c:v>
                </c:pt>
                <c:pt idx="43">
                  <c:v>153.95000000004313</c:v>
                </c:pt>
                <c:pt idx="44">
                  <c:v>190.45000000004313</c:v>
                </c:pt>
                <c:pt idx="45">
                  <c:v>175.05000000004534</c:v>
                </c:pt>
                <c:pt idx="46">
                  <c:v>149.10000000004464</c:v>
                </c:pt>
                <c:pt idx="47">
                  <c:v>84.550000000045443</c:v>
                </c:pt>
                <c:pt idx="48">
                  <c:v>123.45000000004684</c:v>
                </c:pt>
                <c:pt idx="49">
                  <c:v>104.85000000004834</c:v>
                </c:pt>
                <c:pt idx="50">
                  <c:v>166.75000000004974</c:v>
                </c:pt>
                <c:pt idx="51">
                  <c:v>212.25000000004974</c:v>
                </c:pt>
                <c:pt idx="52">
                  <c:v>151.15000000005125</c:v>
                </c:pt>
                <c:pt idx="53">
                  <c:v>123.90000000005125</c:v>
                </c:pt>
                <c:pt idx="54">
                  <c:v>55.300000000049153</c:v>
                </c:pt>
                <c:pt idx="55">
                  <c:v>99.100000000052063</c:v>
                </c:pt>
                <c:pt idx="56">
                  <c:v>71.250000000049965</c:v>
                </c:pt>
                <c:pt idx="57">
                  <c:v>136.65000000005136</c:v>
                </c:pt>
                <c:pt idx="58">
                  <c:v>178.95000000005427</c:v>
                </c:pt>
                <c:pt idx="59">
                  <c:v>291.05000000005225</c:v>
                </c:pt>
                <c:pt idx="60">
                  <c:v>340.65000000005074</c:v>
                </c:pt>
                <c:pt idx="61">
                  <c:v>292.40000000005074</c:v>
                </c:pt>
                <c:pt idx="62">
                  <c:v>271.80000000004861</c:v>
                </c:pt>
                <c:pt idx="63">
                  <c:v>231.85000000004791</c:v>
                </c:pt>
                <c:pt idx="64">
                  <c:v>274.55000000005219</c:v>
                </c:pt>
                <c:pt idx="65">
                  <c:v>255.6500000000508</c:v>
                </c:pt>
                <c:pt idx="66">
                  <c:v>287.95000000004637</c:v>
                </c:pt>
                <c:pt idx="67">
                  <c:v>268.15000000004716</c:v>
                </c:pt>
                <c:pt idx="68">
                  <c:v>411.65000000004716</c:v>
                </c:pt>
                <c:pt idx="69">
                  <c:v>382.90000000004716</c:v>
                </c:pt>
                <c:pt idx="70">
                  <c:v>431.20000000005007</c:v>
                </c:pt>
                <c:pt idx="71">
                  <c:v>405.10000000005158</c:v>
                </c:pt>
                <c:pt idx="72">
                  <c:v>378.35000000005158</c:v>
                </c:pt>
                <c:pt idx="73">
                  <c:v>375.55000000005231</c:v>
                </c:pt>
                <c:pt idx="74">
                  <c:v>347.20000000005382</c:v>
                </c:pt>
                <c:pt idx="75">
                  <c:v>301.55000000005242</c:v>
                </c:pt>
                <c:pt idx="76">
                  <c:v>270.4000000000546</c:v>
                </c:pt>
                <c:pt idx="77">
                  <c:v>322.50000000005309</c:v>
                </c:pt>
                <c:pt idx="78">
                  <c:v>398.90000000004716</c:v>
                </c:pt>
                <c:pt idx="79">
                  <c:v>431.30000000004856</c:v>
                </c:pt>
                <c:pt idx="80">
                  <c:v>386.10000000004788</c:v>
                </c:pt>
                <c:pt idx="81">
                  <c:v>351.90000000005091</c:v>
                </c:pt>
                <c:pt idx="82">
                  <c:v>333.95000000005018</c:v>
                </c:pt>
                <c:pt idx="83">
                  <c:v>388.8500000000443</c:v>
                </c:pt>
                <c:pt idx="84">
                  <c:v>360.1000000000443</c:v>
                </c:pt>
                <c:pt idx="85">
                  <c:v>338.75000000004582</c:v>
                </c:pt>
                <c:pt idx="86">
                  <c:v>382.75000000004582</c:v>
                </c:pt>
                <c:pt idx="87">
                  <c:v>397.3500000000443</c:v>
                </c:pt>
                <c:pt idx="88">
                  <c:v>352.95000000004649</c:v>
                </c:pt>
                <c:pt idx="89">
                  <c:v>460.05000000004452</c:v>
                </c:pt>
                <c:pt idx="90">
                  <c:v>428.00000000004161</c:v>
                </c:pt>
                <c:pt idx="91">
                  <c:v>413.25000000004161</c:v>
                </c:pt>
                <c:pt idx="92">
                  <c:v>455.75000000004161</c:v>
                </c:pt>
                <c:pt idx="93">
                  <c:v>420.60000000004379</c:v>
                </c:pt>
                <c:pt idx="94">
                  <c:v>386.45000000004239</c:v>
                </c:pt>
                <c:pt idx="95">
                  <c:v>385.40000000004312</c:v>
                </c:pt>
                <c:pt idx="96">
                  <c:v>320.25000000004172</c:v>
                </c:pt>
                <c:pt idx="97">
                  <c:v>304.550000000041</c:v>
                </c:pt>
                <c:pt idx="98">
                  <c:v>346.15000000003948</c:v>
                </c:pt>
                <c:pt idx="99">
                  <c:v>320.550000000041</c:v>
                </c:pt>
                <c:pt idx="100">
                  <c:v>298.40000000004318</c:v>
                </c:pt>
                <c:pt idx="101">
                  <c:v>261.70000000004245</c:v>
                </c:pt>
                <c:pt idx="102">
                  <c:v>229.40000000004324</c:v>
                </c:pt>
                <c:pt idx="103">
                  <c:v>192.55000000004475</c:v>
                </c:pt>
                <c:pt idx="104">
                  <c:v>148.60000000004405</c:v>
                </c:pt>
                <c:pt idx="105">
                  <c:v>213.30000000004105</c:v>
                </c:pt>
                <c:pt idx="106">
                  <c:v>270.40000000004687</c:v>
                </c:pt>
                <c:pt idx="107">
                  <c:v>252.95000000004617</c:v>
                </c:pt>
                <c:pt idx="108">
                  <c:v>313.65000000004318</c:v>
                </c:pt>
                <c:pt idx="109">
                  <c:v>361.75000000004167</c:v>
                </c:pt>
                <c:pt idx="110">
                  <c:v>393.95000000004597</c:v>
                </c:pt>
                <c:pt idx="111">
                  <c:v>337.50000000004525</c:v>
                </c:pt>
                <c:pt idx="112">
                  <c:v>238.80000000004455</c:v>
                </c:pt>
                <c:pt idx="113">
                  <c:v>217.30000000004455</c:v>
                </c:pt>
                <c:pt idx="114">
                  <c:v>195.95000000004245</c:v>
                </c:pt>
                <c:pt idx="115">
                  <c:v>180.00000000004545</c:v>
                </c:pt>
                <c:pt idx="116">
                  <c:v>237.70000000004245</c:v>
                </c:pt>
                <c:pt idx="117">
                  <c:v>178.45000000004245</c:v>
                </c:pt>
                <c:pt idx="118">
                  <c:v>161.55000000004466</c:v>
                </c:pt>
                <c:pt idx="119">
                  <c:v>147.90000000004326</c:v>
                </c:pt>
                <c:pt idx="120">
                  <c:v>201.80000000004466</c:v>
                </c:pt>
                <c:pt idx="121">
                  <c:v>262.10000000004754</c:v>
                </c:pt>
                <c:pt idx="122">
                  <c:v>245.35000000004754</c:v>
                </c:pt>
                <c:pt idx="123">
                  <c:v>284.45000000004603</c:v>
                </c:pt>
                <c:pt idx="124">
                  <c:v>204.75000000004533</c:v>
                </c:pt>
                <c:pt idx="125">
                  <c:v>171.10000000004393</c:v>
                </c:pt>
                <c:pt idx="126">
                  <c:v>222.00000000004533</c:v>
                </c:pt>
                <c:pt idx="127">
                  <c:v>234.70000000004603</c:v>
                </c:pt>
                <c:pt idx="128">
                  <c:v>300.50000000004161</c:v>
                </c:pt>
                <c:pt idx="129">
                  <c:v>356.00000000004161</c:v>
                </c:pt>
                <c:pt idx="130">
                  <c:v>325.65000000004312</c:v>
                </c:pt>
                <c:pt idx="131">
                  <c:v>289.00000000004172</c:v>
                </c:pt>
                <c:pt idx="132">
                  <c:v>383.70000000004603</c:v>
                </c:pt>
                <c:pt idx="133">
                  <c:v>333.50000000004906</c:v>
                </c:pt>
                <c:pt idx="134">
                  <c:v>381.75000000004906</c:v>
                </c:pt>
                <c:pt idx="135">
                  <c:v>303.10000000004766</c:v>
                </c:pt>
                <c:pt idx="136">
                  <c:v>246.60000000004766</c:v>
                </c:pt>
                <c:pt idx="137">
                  <c:v>402.70000000004563</c:v>
                </c:pt>
                <c:pt idx="138">
                  <c:v>378.10000000004715</c:v>
                </c:pt>
                <c:pt idx="139">
                  <c:v>361.10000000004715</c:v>
                </c:pt>
                <c:pt idx="140">
                  <c:v>342.05000000004793</c:v>
                </c:pt>
                <c:pt idx="141">
                  <c:v>318.1000000000472</c:v>
                </c:pt>
                <c:pt idx="142">
                  <c:v>277.05000000004799</c:v>
                </c:pt>
                <c:pt idx="143">
                  <c:v>339.75000000004496</c:v>
                </c:pt>
                <c:pt idx="144">
                  <c:v>320.90000000004284</c:v>
                </c:pt>
                <c:pt idx="145">
                  <c:v>297.55000000004071</c:v>
                </c:pt>
                <c:pt idx="146">
                  <c:v>241.65000000004289</c:v>
                </c:pt>
                <c:pt idx="147">
                  <c:v>236.25000000004144</c:v>
                </c:pt>
                <c:pt idx="148">
                  <c:v>276.35000000004726</c:v>
                </c:pt>
                <c:pt idx="149">
                  <c:v>254.25000000004516</c:v>
                </c:pt>
                <c:pt idx="150">
                  <c:v>229.60000000004376</c:v>
                </c:pt>
                <c:pt idx="151">
                  <c:v>210.35000000004376</c:v>
                </c:pt>
                <c:pt idx="152">
                  <c:v>192.10000000004376</c:v>
                </c:pt>
                <c:pt idx="153">
                  <c:v>176.10000000004376</c:v>
                </c:pt>
                <c:pt idx="154">
                  <c:v>153.70000000004237</c:v>
                </c:pt>
                <c:pt idx="155">
                  <c:v>208.30000000004088</c:v>
                </c:pt>
                <c:pt idx="156">
                  <c:v>188.20000000004239</c:v>
                </c:pt>
                <c:pt idx="157">
                  <c:v>167.6000000000403</c:v>
                </c:pt>
                <c:pt idx="158">
                  <c:v>128.1000000000403</c:v>
                </c:pt>
                <c:pt idx="159">
                  <c:v>111.6000000000403</c:v>
                </c:pt>
                <c:pt idx="160">
                  <c:v>243.1000000000403</c:v>
                </c:pt>
                <c:pt idx="161">
                  <c:v>294.10000000004027</c:v>
                </c:pt>
                <c:pt idx="162">
                  <c:v>276.35000000004027</c:v>
                </c:pt>
                <c:pt idx="163">
                  <c:v>245.55000000004105</c:v>
                </c:pt>
                <c:pt idx="164">
                  <c:v>169.30000000004105</c:v>
                </c:pt>
                <c:pt idx="165">
                  <c:v>240.70000000004245</c:v>
                </c:pt>
                <c:pt idx="166">
                  <c:v>306.00000000003809</c:v>
                </c:pt>
                <c:pt idx="167">
                  <c:v>285.9000000000396</c:v>
                </c:pt>
                <c:pt idx="168">
                  <c:v>262.30000000004111</c:v>
                </c:pt>
                <c:pt idx="169">
                  <c:v>292.60000000003669</c:v>
                </c:pt>
                <c:pt idx="170">
                  <c:v>322.50000000003809</c:v>
                </c:pt>
                <c:pt idx="171">
                  <c:v>400.40000000003215</c:v>
                </c:pt>
                <c:pt idx="172">
                  <c:v>371.00000000003433</c:v>
                </c:pt>
                <c:pt idx="173">
                  <c:v>338.30000000003361</c:v>
                </c:pt>
                <c:pt idx="174">
                  <c:v>428.80000000003361</c:v>
                </c:pt>
                <c:pt idx="175">
                  <c:v>411.2500000000307</c:v>
                </c:pt>
                <c:pt idx="176">
                  <c:v>391.80000000003372</c:v>
                </c:pt>
                <c:pt idx="177">
                  <c:v>450.90000000003221</c:v>
                </c:pt>
                <c:pt idx="178">
                  <c:v>500.25000000003433</c:v>
                </c:pt>
                <c:pt idx="179">
                  <c:v>475.65000000003585</c:v>
                </c:pt>
                <c:pt idx="180">
                  <c:v>453.20000000003517</c:v>
                </c:pt>
                <c:pt idx="181">
                  <c:v>436.35000000003669</c:v>
                </c:pt>
                <c:pt idx="182">
                  <c:v>483.1500000000396</c:v>
                </c:pt>
                <c:pt idx="183">
                  <c:v>565.15000000003965</c:v>
                </c:pt>
                <c:pt idx="184">
                  <c:v>540.40000000003965</c:v>
                </c:pt>
                <c:pt idx="185">
                  <c:v>513.80000000003758</c:v>
                </c:pt>
                <c:pt idx="186">
                  <c:v>486.75000000003837</c:v>
                </c:pt>
                <c:pt idx="187">
                  <c:v>570.95000000004268</c:v>
                </c:pt>
                <c:pt idx="188">
                  <c:v>601.15000000003965</c:v>
                </c:pt>
                <c:pt idx="189">
                  <c:v>579.45000000003893</c:v>
                </c:pt>
                <c:pt idx="190">
                  <c:v>653.85000000004038</c:v>
                </c:pt>
                <c:pt idx="191">
                  <c:v>632.65000000003965</c:v>
                </c:pt>
                <c:pt idx="192">
                  <c:v>711.45000000004256</c:v>
                </c:pt>
                <c:pt idx="193">
                  <c:v>740.85000000003663</c:v>
                </c:pt>
                <c:pt idx="194">
                  <c:v>775.75000000003797</c:v>
                </c:pt>
                <c:pt idx="195">
                  <c:v>752.60000000004015</c:v>
                </c:pt>
                <c:pt idx="196">
                  <c:v>869.80000000003713</c:v>
                </c:pt>
                <c:pt idx="197">
                  <c:v>821.25000000003797</c:v>
                </c:pt>
                <c:pt idx="198">
                  <c:v>780.75000000003797</c:v>
                </c:pt>
                <c:pt idx="199">
                  <c:v>819.75000000003797</c:v>
                </c:pt>
                <c:pt idx="200">
                  <c:v>774.70000000003881</c:v>
                </c:pt>
                <c:pt idx="201">
                  <c:v>842.40000000003579</c:v>
                </c:pt>
                <c:pt idx="202">
                  <c:v>865.80000000003724</c:v>
                </c:pt>
                <c:pt idx="203">
                  <c:v>848.35000000003652</c:v>
                </c:pt>
                <c:pt idx="204">
                  <c:v>833.15000000003579</c:v>
                </c:pt>
                <c:pt idx="205">
                  <c:v>783.00000000003797</c:v>
                </c:pt>
                <c:pt idx="206">
                  <c:v>728.95000000003881</c:v>
                </c:pt>
                <c:pt idx="207">
                  <c:v>797.05000000003736</c:v>
                </c:pt>
                <c:pt idx="208">
                  <c:v>1014.7500000000414</c:v>
                </c:pt>
                <c:pt idx="209">
                  <c:v>992.35000000003993</c:v>
                </c:pt>
                <c:pt idx="210">
                  <c:v>969.60000000003993</c:v>
                </c:pt>
                <c:pt idx="211">
                  <c:v>1053.9000000000392</c:v>
                </c:pt>
                <c:pt idx="212">
                  <c:v>1024.5500000000407</c:v>
                </c:pt>
                <c:pt idx="213">
                  <c:v>1012.0500000000407</c:v>
                </c:pt>
                <c:pt idx="214">
                  <c:v>1108.7500000000377</c:v>
                </c:pt>
                <c:pt idx="215">
                  <c:v>1080.2000000000385</c:v>
                </c:pt>
                <c:pt idx="216">
                  <c:v>1119.1000000000327</c:v>
                </c:pt>
                <c:pt idx="217">
                  <c:v>1089.5000000000341</c:v>
                </c:pt>
                <c:pt idx="218">
                  <c:v>1056.1500000000356</c:v>
                </c:pt>
                <c:pt idx="219">
                  <c:v>963.90000000003556</c:v>
                </c:pt>
                <c:pt idx="220">
                  <c:v>937.55000000003349</c:v>
                </c:pt>
                <c:pt idx="221">
                  <c:v>987.35000000002913</c:v>
                </c:pt>
                <c:pt idx="222">
                  <c:v>951.55000000002997</c:v>
                </c:pt>
                <c:pt idx="223">
                  <c:v>931.10000000002924</c:v>
                </c:pt>
                <c:pt idx="224">
                  <c:v>903.45000000002779</c:v>
                </c:pt>
                <c:pt idx="225">
                  <c:v>884.40000000002863</c:v>
                </c:pt>
                <c:pt idx="226">
                  <c:v>973.80000000002269</c:v>
                </c:pt>
                <c:pt idx="227">
                  <c:v>1005.0000000000197</c:v>
                </c:pt>
                <c:pt idx="228">
                  <c:v>1073.6000000000254</c:v>
                </c:pt>
                <c:pt idx="229">
                  <c:v>1111.0000000000268</c:v>
                </c:pt>
                <c:pt idx="230">
                  <c:v>1098.0500000000261</c:v>
                </c:pt>
                <c:pt idx="231">
                  <c:v>985.5000000000241</c:v>
                </c:pt>
                <c:pt idx="232">
                  <c:v>1013.3000000000197</c:v>
                </c:pt>
                <c:pt idx="233">
                  <c:v>1000.600000000019</c:v>
                </c:pt>
                <c:pt idx="234">
                  <c:v>963.10000000001901</c:v>
                </c:pt>
                <c:pt idx="235">
                  <c:v>950.80000000001985</c:v>
                </c:pt>
                <c:pt idx="236">
                  <c:v>933.05000000001985</c:v>
                </c:pt>
                <c:pt idx="237">
                  <c:v>918.05000000001985</c:v>
                </c:pt>
                <c:pt idx="238">
                  <c:v>857.15000000001851</c:v>
                </c:pt>
                <c:pt idx="239">
                  <c:v>904.85000000001548</c:v>
                </c:pt>
                <c:pt idx="240">
                  <c:v>873.75000000001694</c:v>
                </c:pt>
                <c:pt idx="241">
                  <c:v>853.45000000001778</c:v>
                </c:pt>
                <c:pt idx="242">
                  <c:v>841.90000000001862</c:v>
                </c:pt>
                <c:pt idx="243">
                  <c:v>829.50000000001717</c:v>
                </c:pt>
                <c:pt idx="244">
                  <c:v>806.6500000000151</c:v>
                </c:pt>
                <c:pt idx="245">
                  <c:v>782.20000000001437</c:v>
                </c:pt>
                <c:pt idx="246">
                  <c:v>746.95000000001437</c:v>
                </c:pt>
                <c:pt idx="247">
                  <c:v>694.8500000000123</c:v>
                </c:pt>
                <c:pt idx="248">
                  <c:v>660.1000000000123</c:v>
                </c:pt>
                <c:pt idx="249">
                  <c:v>642.90000000001157</c:v>
                </c:pt>
                <c:pt idx="250">
                  <c:v>750.5000000000166</c:v>
                </c:pt>
                <c:pt idx="251">
                  <c:v>698.40000000001805</c:v>
                </c:pt>
                <c:pt idx="252">
                  <c:v>668.0000000000166</c:v>
                </c:pt>
                <c:pt idx="253">
                  <c:v>640.0000000000166</c:v>
                </c:pt>
                <c:pt idx="254">
                  <c:v>685.60000000001514</c:v>
                </c:pt>
                <c:pt idx="255">
                  <c:v>728.70000000002096</c:v>
                </c:pt>
                <c:pt idx="256">
                  <c:v>673.90000000002181</c:v>
                </c:pt>
                <c:pt idx="257">
                  <c:v>636.05000000002326</c:v>
                </c:pt>
                <c:pt idx="258">
                  <c:v>696.35000000001889</c:v>
                </c:pt>
                <c:pt idx="259">
                  <c:v>663.75000000002035</c:v>
                </c:pt>
                <c:pt idx="260">
                  <c:v>722.85000000001889</c:v>
                </c:pt>
                <c:pt idx="261">
                  <c:v>814.65000000001453</c:v>
                </c:pt>
                <c:pt idx="262">
                  <c:v>714.80000000001598</c:v>
                </c:pt>
                <c:pt idx="263">
                  <c:v>692.20000000001392</c:v>
                </c:pt>
                <c:pt idx="264">
                  <c:v>678.35000000001537</c:v>
                </c:pt>
                <c:pt idx="265">
                  <c:v>769.85000000001537</c:v>
                </c:pt>
                <c:pt idx="266">
                  <c:v>748.90000000001464</c:v>
                </c:pt>
                <c:pt idx="267">
                  <c:v>711.85000000001548</c:v>
                </c:pt>
                <c:pt idx="268">
                  <c:v>671.65000000001476</c:v>
                </c:pt>
                <c:pt idx="269">
                  <c:v>695.65000000001476</c:v>
                </c:pt>
                <c:pt idx="270">
                  <c:v>662.95000000001403</c:v>
                </c:pt>
                <c:pt idx="271">
                  <c:v>640.65000000001487</c:v>
                </c:pt>
                <c:pt idx="272">
                  <c:v>601.95000000001789</c:v>
                </c:pt>
                <c:pt idx="273">
                  <c:v>582.55000000001655</c:v>
                </c:pt>
                <c:pt idx="274">
                  <c:v>541.35000000001583</c:v>
                </c:pt>
                <c:pt idx="275">
                  <c:v>579.75000000001728</c:v>
                </c:pt>
                <c:pt idx="276">
                  <c:v>645.75000000001728</c:v>
                </c:pt>
                <c:pt idx="277">
                  <c:v>601.20000000001812</c:v>
                </c:pt>
                <c:pt idx="278">
                  <c:v>578.10000000001605</c:v>
                </c:pt>
                <c:pt idx="279">
                  <c:v>542.7000000000146</c:v>
                </c:pt>
                <c:pt idx="280">
                  <c:v>574.80000000001314</c:v>
                </c:pt>
                <c:pt idx="281">
                  <c:v>541.00000000001398</c:v>
                </c:pt>
                <c:pt idx="282">
                  <c:v>513.15000000001544</c:v>
                </c:pt>
                <c:pt idx="283">
                  <c:v>494.90000000001544</c:v>
                </c:pt>
                <c:pt idx="284">
                  <c:v>476.55000000001695</c:v>
                </c:pt>
                <c:pt idx="285">
                  <c:v>471.4000000000155</c:v>
                </c:pt>
                <c:pt idx="286">
                  <c:v>369.60000000001651</c:v>
                </c:pt>
                <c:pt idx="287">
                  <c:v>331.05000000001729</c:v>
                </c:pt>
                <c:pt idx="288">
                  <c:v>299.05000000001729</c:v>
                </c:pt>
                <c:pt idx="289">
                  <c:v>280.80000000001729</c:v>
                </c:pt>
                <c:pt idx="290">
                  <c:v>306.00000000001427</c:v>
                </c:pt>
                <c:pt idx="291">
                  <c:v>281.45000000001505</c:v>
                </c:pt>
                <c:pt idx="292">
                  <c:v>325.25000000001063</c:v>
                </c:pt>
                <c:pt idx="293">
                  <c:v>262.20000000001141</c:v>
                </c:pt>
                <c:pt idx="294">
                  <c:v>248.9000000000085</c:v>
                </c:pt>
                <c:pt idx="295">
                  <c:v>229.9500000000078</c:v>
                </c:pt>
                <c:pt idx="296">
                  <c:v>263.05000000000632</c:v>
                </c:pt>
                <c:pt idx="297">
                  <c:v>213.30000000000632</c:v>
                </c:pt>
                <c:pt idx="298">
                  <c:v>176.9000000000085</c:v>
                </c:pt>
                <c:pt idx="299">
                  <c:v>146.60000000000929</c:v>
                </c:pt>
                <c:pt idx="300">
                  <c:v>127.45000000000789</c:v>
                </c:pt>
                <c:pt idx="301">
                  <c:v>115.45000000000789</c:v>
                </c:pt>
                <c:pt idx="302">
                  <c:v>222.85000000000889</c:v>
                </c:pt>
                <c:pt idx="303">
                  <c:v>165.95000000000749</c:v>
                </c:pt>
                <c:pt idx="304">
                  <c:v>133.65000000000458</c:v>
                </c:pt>
                <c:pt idx="305">
                  <c:v>109.95000000000388</c:v>
                </c:pt>
                <c:pt idx="306">
                  <c:v>212.15000000000089</c:v>
                </c:pt>
                <c:pt idx="307">
                  <c:v>222.20000000000007</c:v>
                </c:pt>
                <c:pt idx="308">
                  <c:v>208.65000000000089</c:v>
                </c:pt>
                <c:pt idx="309">
                  <c:v>193.90000000000089</c:v>
                </c:pt>
                <c:pt idx="310">
                  <c:v>177.90000000000089</c:v>
                </c:pt>
                <c:pt idx="311">
                  <c:v>153.99999999999949</c:v>
                </c:pt>
                <c:pt idx="312">
                  <c:v>125.04999999999879</c:v>
                </c:pt>
                <c:pt idx="313">
                  <c:v>104.74999999999959</c:v>
                </c:pt>
                <c:pt idx="314">
                  <c:v>213.84999999999758</c:v>
                </c:pt>
                <c:pt idx="315">
                  <c:v>192.04999999999836</c:v>
                </c:pt>
                <c:pt idx="316">
                  <c:v>362.75000000000239</c:v>
                </c:pt>
                <c:pt idx="317">
                  <c:v>352.55000000000166</c:v>
                </c:pt>
                <c:pt idx="318">
                  <c:v>332.30000000000166</c:v>
                </c:pt>
                <c:pt idx="319">
                  <c:v>366.20000000000306</c:v>
                </c:pt>
                <c:pt idx="320">
                  <c:v>345.45000000000306</c:v>
                </c:pt>
                <c:pt idx="321">
                  <c:v>394.65000000000737</c:v>
                </c:pt>
                <c:pt idx="322">
                  <c:v>381.75000000000955</c:v>
                </c:pt>
                <c:pt idx="323">
                  <c:v>428.15000000001095</c:v>
                </c:pt>
                <c:pt idx="324">
                  <c:v>417.20000000001028</c:v>
                </c:pt>
                <c:pt idx="325">
                  <c:v>387.80000000001246</c:v>
                </c:pt>
                <c:pt idx="326">
                  <c:v>375.75000000001324</c:v>
                </c:pt>
                <c:pt idx="327">
                  <c:v>460.35000000001173</c:v>
                </c:pt>
                <c:pt idx="328">
                  <c:v>487.25000000000585</c:v>
                </c:pt>
                <c:pt idx="329">
                  <c:v>470.75000000000585</c:v>
                </c:pt>
                <c:pt idx="330">
                  <c:v>520.65</c:v>
                </c:pt>
                <c:pt idx="331">
                  <c:v>549.45000000000289</c:v>
                </c:pt>
                <c:pt idx="332">
                  <c:v>578.35000000000423</c:v>
                </c:pt>
                <c:pt idx="333">
                  <c:v>547.15000000000725</c:v>
                </c:pt>
                <c:pt idx="334">
                  <c:v>633.35000000001151</c:v>
                </c:pt>
                <c:pt idx="335">
                  <c:v>749.45000000001653</c:v>
                </c:pt>
                <c:pt idx="336">
                  <c:v>727.10000000001799</c:v>
                </c:pt>
                <c:pt idx="337">
                  <c:v>763.80000000001496</c:v>
                </c:pt>
                <c:pt idx="338">
                  <c:v>745.85000000001423</c:v>
                </c:pt>
                <c:pt idx="339">
                  <c:v>793.35000000001423</c:v>
                </c:pt>
                <c:pt idx="340">
                  <c:v>885.45000000001278</c:v>
                </c:pt>
                <c:pt idx="341">
                  <c:v>902.60000000001423</c:v>
                </c:pt>
                <c:pt idx="342">
                  <c:v>842.85000000001423</c:v>
                </c:pt>
                <c:pt idx="343">
                  <c:v>923.35000000001423</c:v>
                </c:pt>
                <c:pt idx="344">
                  <c:v>954.65000000000987</c:v>
                </c:pt>
                <c:pt idx="345">
                  <c:v>1021.6500000000099</c:v>
                </c:pt>
                <c:pt idx="346">
                  <c:v>1048.550000000004</c:v>
                </c:pt>
                <c:pt idx="347">
                  <c:v>1033.0000000000048</c:v>
                </c:pt>
                <c:pt idx="348">
                  <c:v>1021.0000000000048</c:v>
                </c:pt>
                <c:pt idx="349">
                  <c:v>1006.9500000000056</c:v>
                </c:pt>
                <c:pt idx="350">
                  <c:v>988.70000000000562</c:v>
                </c:pt>
                <c:pt idx="351">
                  <c:v>1030.0999999999997</c:v>
                </c:pt>
                <c:pt idx="352">
                  <c:v>1071.0999999999997</c:v>
                </c:pt>
                <c:pt idx="353">
                  <c:v>1056.399999999999</c:v>
                </c:pt>
                <c:pt idx="354">
                  <c:v>1111.8000000000004</c:v>
                </c:pt>
                <c:pt idx="355">
                  <c:v>1093.5500000000004</c:v>
                </c:pt>
                <c:pt idx="356">
                  <c:v>1078.5500000000004</c:v>
                </c:pt>
                <c:pt idx="357">
                  <c:v>1032.5500000000004</c:v>
                </c:pt>
                <c:pt idx="358">
                  <c:v>1005.8000000000004</c:v>
                </c:pt>
                <c:pt idx="359">
                  <c:v>989.44999999999834</c:v>
                </c:pt>
                <c:pt idx="360">
                  <c:v>1055.4499999999985</c:v>
                </c:pt>
                <c:pt idx="361">
                  <c:v>1036.1999999999985</c:v>
                </c:pt>
                <c:pt idx="362">
                  <c:v>1062.9000000000028</c:v>
                </c:pt>
                <c:pt idx="363">
                  <c:v>1170.5999999999999</c:v>
                </c:pt>
                <c:pt idx="364">
                  <c:v>1185.6499999999992</c:v>
                </c:pt>
                <c:pt idx="365">
                  <c:v>1222.1499999999992</c:v>
                </c:pt>
                <c:pt idx="366">
                  <c:v>1209.2499999999977</c:v>
                </c:pt>
                <c:pt idx="367">
                  <c:v>1234.5499999999934</c:v>
                </c:pt>
                <c:pt idx="368">
                  <c:v>1220.2999999999934</c:v>
                </c:pt>
                <c:pt idx="369">
                  <c:v>1252.2999999999934</c:v>
                </c:pt>
                <c:pt idx="370">
                  <c:v>1239.6499999999955</c:v>
                </c:pt>
                <c:pt idx="371">
                  <c:v>1211.7999999999934</c:v>
                </c:pt>
                <c:pt idx="372">
                  <c:v>1314.7999999999934</c:v>
                </c:pt>
                <c:pt idx="373">
                  <c:v>1298.3499999999963</c:v>
                </c:pt>
                <c:pt idx="374">
                  <c:v>1325.7499999999977</c:v>
                </c:pt>
                <c:pt idx="375">
                  <c:v>1314.6499999999955</c:v>
                </c:pt>
                <c:pt idx="376">
                  <c:v>1358.2500000000014</c:v>
                </c:pt>
                <c:pt idx="377">
                  <c:v>1347.8999999999992</c:v>
                </c:pt>
                <c:pt idx="378">
                  <c:v>1371.3999999999992</c:v>
                </c:pt>
                <c:pt idx="379">
                  <c:v>1487.1999999999941</c:v>
                </c:pt>
                <c:pt idx="380">
                  <c:v>1456.2999999999927</c:v>
                </c:pt>
                <c:pt idx="381">
                  <c:v>1442.7499999999934</c:v>
                </c:pt>
                <c:pt idx="382">
                  <c:v>1411.3499999999956</c:v>
                </c:pt>
                <c:pt idx="383">
                  <c:v>1398.2499999999934</c:v>
                </c:pt>
                <c:pt idx="384">
                  <c:v>1376.2999999999927</c:v>
                </c:pt>
                <c:pt idx="385">
                  <c:v>1363.7999999999927</c:v>
                </c:pt>
                <c:pt idx="386">
                  <c:v>1347.9999999999898</c:v>
                </c:pt>
                <c:pt idx="387">
                  <c:v>1379.6999999999869</c:v>
                </c:pt>
                <c:pt idx="388">
                  <c:v>1362.2999999999854</c:v>
                </c:pt>
                <c:pt idx="389">
                  <c:v>1402.1999999999869</c:v>
                </c:pt>
                <c:pt idx="390">
                  <c:v>1464.0999999999883</c:v>
                </c:pt>
                <c:pt idx="391">
                  <c:v>1433.0999999999883</c:v>
                </c:pt>
                <c:pt idx="392">
                  <c:v>1417.8499999999883</c:v>
                </c:pt>
                <c:pt idx="393">
                  <c:v>1458.0999999999883</c:v>
                </c:pt>
                <c:pt idx="394">
                  <c:v>1416.049999999989</c:v>
                </c:pt>
                <c:pt idx="395">
                  <c:v>1478.6499999999949</c:v>
                </c:pt>
                <c:pt idx="396">
                  <c:v>1538.0499999999963</c:v>
                </c:pt>
                <c:pt idx="397">
                  <c:v>1515.749999999997</c:v>
                </c:pt>
                <c:pt idx="398">
                  <c:v>1487.249999999997</c:v>
                </c:pt>
                <c:pt idx="399">
                  <c:v>1468.1499999999985</c:v>
                </c:pt>
                <c:pt idx="400">
                  <c:v>1432.6499999999985</c:v>
                </c:pt>
                <c:pt idx="401">
                  <c:v>1409.7500000000007</c:v>
                </c:pt>
                <c:pt idx="402">
                  <c:v>1529.2500000000007</c:v>
                </c:pt>
                <c:pt idx="403">
                  <c:v>1554.2500000000007</c:v>
                </c:pt>
                <c:pt idx="404">
                  <c:v>1529.2500000000007</c:v>
                </c:pt>
                <c:pt idx="405">
                  <c:v>1621.7500000000007</c:v>
                </c:pt>
                <c:pt idx="406">
                  <c:v>1667.3500000000065</c:v>
                </c:pt>
                <c:pt idx="407">
                  <c:v>1649.0500000000036</c:v>
                </c:pt>
                <c:pt idx="408">
                  <c:v>1631.0500000000036</c:v>
                </c:pt>
                <c:pt idx="409">
                  <c:v>1615.5000000000043</c:v>
                </c:pt>
                <c:pt idx="410">
                  <c:v>1596.6000000000029</c:v>
                </c:pt>
                <c:pt idx="411">
                  <c:v>1578.6000000000029</c:v>
                </c:pt>
                <c:pt idx="412">
                  <c:v>1532.9500000000014</c:v>
                </c:pt>
                <c:pt idx="413">
                  <c:v>1600.8499999999956</c:v>
                </c:pt>
                <c:pt idx="414">
                  <c:v>1558.5499999999927</c:v>
                </c:pt>
                <c:pt idx="415">
                  <c:v>1534.2499999999934</c:v>
                </c:pt>
                <c:pt idx="416">
                  <c:v>1519.4999999999934</c:v>
                </c:pt>
                <c:pt idx="417">
                  <c:v>1492.5499999999927</c:v>
                </c:pt>
                <c:pt idx="418">
                  <c:v>1465.099999999992</c:v>
                </c:pt>
                <c:pt idx="419">
                  <c:v>1551.599999999992</c:v>
                </c:pt>
                <c:pt idx="420">
                  <c:v>1533.099999999992</c:v>
                </c:pt>
                <c:pt idx="421">
                  <c:v>1511.1999999999941</c:v>
                </c:pt>
                <c:pt idx="422">
                  <c:v>1490.8499999999956</c:v>
                </c:pt>
                <c:pt idx="423">
                  <c:v>1531.8499999999956</c:v>
                </c:pt>
                <c:pt idx="424">
                  <c:v>1510.8999999999949</c:v>
                </c:pt>
                <c:pt idx="425">
                  <c:v>1496.8499999999956</c:v>
                </c:pt>
                <c:pt idx="426">
                  <c:v>1477.0999999999956</c:v>
                </c:pt>
                <c:pt idx="427">
                  <c:v>1463.3499999999956</c:v>
                </c:pt>
                <c:pt idx="428">
                  <c:v>1495.8499999999956</c:v>
                </c:pt>
                <c:pt idx="429">
                  <c:v>1476.7999999999963</c:v>
                </c:pt>
                <c:pt idx="430">
                  <c:v>1504.599999999992</c:v>
                </c:pt>
                <c:pt idx="431">
                  <c:v>1483.4999999999934</c:v>
                </c:pt>
                <c:pt idx="432">
                  <c:v>1467.7999999999927</c:v>
                </c:pt>
                <c:pt idx="433">
                  <c:v>1592.4999999999898</c:v>
                </c:pt>
                <c:pt idx="434">
                  <c:v>1577.8999999999876</c:v>
                </c:pt>
                <c:pt idx="435">
                  <c:v>1606.8999999999876</c:v>
                </c:pt>
                <c:pt idx="436">
                  <c:v>1615.8999999999876</c:v>
                </c:pt>
                <c:pt idx="437">
                  <c:v>1641.599999999992</c:v>
                </c:pt>
                <c:pt idx="438">
                  <c:v>1625.299999999989</c:v>
                </c:pt>
                <c:pt idx="439">
                  <c:v>1655.8999999999876</c:v>
                </c:pt>
                <c:pt idx="440">
                  <c:v>1631.549999999989</c:v>
                </c:pt>
                <c:pt idx="441">
                  <c:v>1610.8999999999912</c:v>
                </c:pt>
                <c:pt idx="442">
                  <c:v>1582.1499999999912</c:v>
                </c:pt>
                <c:pt idx="443">
                  <c:v>1553.8999999999912</c:v>
                </c:pt>
                <c:pt idx="444">
                  <c:v>1540.349999999992</c:v>
                </c:pt>
                <c:pt idx="445">
                  <c:v>1565.1499999999876</c:v>
                </c:pt>
                <c:pt idx="446">
                  <c:v>1549.4999999999861</c:v>
                </c:pt>
                <c:pt idx="447">
                  <c:v>1593.8999999999876</c:v>
                </c:pt>
                <c:pt idx="448">
                  <c:v>1578.2999999999854</c:v>
                </c:pt>
                <c:pt idx="449">
                  <c:v>1666.7999999999854</c:v>
                </c:pt>
                <c:pt idx="450">
                  <c:v>1655.1499999999839</c:v>
                </c:pt>
                <c:pt idx="451">
                  <c:v>1565.4499999999832</c:v>
                </c:pt>
                <c:pt idx="452">
                  <c:v>1542.3499999999847</c:v>
                </c:pt>
                <c:pt idx="453">
                  <c:v>1524.8499999999847</c:v>
                </c:pt>
                <c:pt idx="454">
                  <c:v>1497.2499999999825</c:v>
                </c:pt>
                <c:pt idx="455">
                  <c:v>1469.599999999981</c:v>
                </c:pt>
                <c:pt idx="456">
                  <c:v>1447.8999999999839</c:v>
                </c:pt>
                <c:pt idx="457">
                  <c:v>1492.7999999999854</c:v>
                </c:pt>
                <c:pt idx="458">
                  <c:v>1475.5999999999883</c:v>
                </c:pt>
                <c:pt idx="459">
                  <c:v>1517.2999999999854</c:v>
                </c:pt>
                <c:pt idx="460">
                  <c:v>1497.6999999999869</c:v>
                </c:pt>
                <c:pt idx="461">
                  <c:v>1482.9499999999869</c:v>
                </c:pt>
                <c:pt idx="462">
                  <c:v>1465.1499999999876</c:v>
                </c:pt>
                <c:pt idx="463">
                  <c:v>1449.0499999999854</c:v>
                </c:pt>
                <c:pt idx="464">
                  <c:v>1431.7999999999854</c:v>
                </c:pt>
                <c:pt idx="465">
                  <c:v>1439.0999999999847</c:v>
                </c:pt>
                <c:pt idx="466">
                  <c:v>1481.1999999999832</c:v>
                </c:pt>
                <c:pt idx="467">
                  <c:v>1512.8999999999803</c:v>
                </c:pt>
                <c:pt idx="468">
                  <c:v>1485.599999999981</c:v>
                </c:pt>
                <c:pt idx="469">
                  <c:v>1463.349999999981</c:v>
                </c:pt>
                <c:pt idx="470">
                  <c:v>1445.8999999999803</c:v>
                </c:pt>
                <c:pt idx="471">
                  <c:v>1425.8999999999803</c:v>
                </c:pt>
                <c:pt idx="472">
                  <c:v>1404.7499999999825</c:v>
                </c:pt>
                <c:pt idx="473">
                  <c:v>1374.6999999999832</c:v>
                </c:pt>
                <c:pt idx="474">
                  <c:v>1349.2999999999818</c:v>
                </c:pt>
                <c:pt idx="475">
                  <c:v>1379.3999999999876</c:v>
                </c:pt>
                <c:pt idx="476">
                  <c:v>1435.8999999999876</c:v>
                </c:pt>
                <c:pt idx="477">
                  <c:v>1510.299999999989</c:v>
                </c:pt>
                <c:pt idx="478">
                  <c:v>1534.799999999989</c:v>
                </c:pt>
                <c:pt idx="479">
                  <c:v>1507.8999999999912</c:v>
                </c:pt>
                <c:pt idx="480">
                  <c:v>1550.7999999999854</c:v>
                </c:pt>
                <c:pt idx="481">
                  <c:v>1524.6499999999839</c:v>
                </c:pt>
                <c:pt idx="482">
                  <c:v>1560.1499999999839</c:v>
                </c:pt>
                <c:pt idx="483">
                  <c:v>1590.1499999999839</c:v>
                </c:pt>
                <c:pt idx="484">
                  <c:v>1573.6499999999839</c:v>
                </c:pt>
                <c:pt idx="485">
                  <c:v>1557.6499999999839</c:v>
                </c:pt>
                <c:pt idx="486">
                  <c:v>1625.6499999999839</c:v>
                </c:pt>
                <c:pt idx="487">
                  <c:v>1675.0499999999854</c:v>
                </c:pt>
                <c:pt idx="488">
                  <c:v>1710.4499999999796</c:v>
                </c:pt>
                <c:pt idx="489">
                  <c:v>1750.1499999999839</c:v>
                </c:pt>
                <c:pt idx="490">
                  <c:v>1735.3999999999839</c:v>
                </c:pt>
                <c:pt idx="491">
                  <c:v>1762.1999999999796</c:v>
                </c:pt>
                <c:pt idx="492">
                  <c:v>1719.4499999999796</c:v>
                </c:pt>
                <c:pt idx="493">
                  <c:v>1683.9499999999796</c:v>
                </c:pt>
                <c:pt idx="494">
                  <c:v>1656.849999999981</c:v>
                </c:pt>
                <c:pt idx="495">
                  <c:v>1629.0499999999818</c:v>
                </c:pt>
                <c:pt idx="496">
                  <c:v>1665.8499999999774</c:v>
                </c:pt>
                <c:pt idx="497">
                  <c:v>1658.8499999999774</c:v>
                </c:pt>
                <c:pt idx="498">
                  <c:v>1617.4999999999789</c:v>
                </c:pt>
                <c:pt idx="499">
                  <c:v>1604.6499999999767</c:v>
                </c:pt>
                <c:pt idx="500">
                  <c:v>1587.7499999999789</c:v>
                </c:pt>
                <c:pt idx="501">
                  <c:v>1615.2999999999781</c:v>
                </c:pt>
                <c:pt idx="502">
                  <c:v>1673.5999999999738</c:v>
                </c:pt>
                <c:pt idx="503">
                  <c:v>1712.4999999999752</c:v>
                </c:pt>
                <c:pt idx="504">
                  <c:v>1743.2999999999781</c:v>
                </c:pt>
                <c:pt idx="505">
                  <c:v>1753.0499999999781</c:v>
                </c:pt>
                <c:pt idx="506">
                  <c:v>1822.7499999999825</c:v>
                </c:pt>
                <c:pt idx="507">
                  <c:v>1800.6499999999803</c:v>
                </c:pt>
                <c:pt idx="508">
                  <c:v>1784.8499999999774</c:v>
                </c:pt>
                <c:pt idx="509">
                  <c:v>1773.4499999999759</c:v>
                </c:pt>
                <c:pt idx="510">
                  <c:v>1758.149999999973</c:v>
                </c:pt>
                <c:pt idx="511">
                  <c:v>1745.149999999973</c:v>
                </c:pt>
                <c:pt idx="512">
                  <c:v>1781.7499999999716</c:v>
                </c:pt>
                <c:pt idx="513">
                  <c:v>1766.8499999999701</c:v>
                </c:pt>
                <c:pt idx="514">
                  <c:v>1823.8499999999701</c:v>
                </c:pt>
                <c:pt idx="515">
                  <c:v>1796.4999999999716</c:v>
                </c:pt>
                <c:pt idx="516">
                  <c:v>1804.5999999999738</c:v>
                </c:pt>
                <c:pt idx="517">
                  <c:v>1860.0999999999738</c:v>
                </c:pt>
                <c:pt idx="518">
                  <c:v>1825.2499999999716</c:v>
                </c:pt>
                <c:pt idx="519">
                  <c:v>1799.4999999999716</c:v>
                </c:pt>
                <c:pt idx="520">
                  <c:v>1887.2999999999709</c:v>
                </c:pt>
                <c:pt idx="521">
                  <c:v>1925.9999999999752</c:v>
                </c:pt>
                <c:pt idx="522">
                  <c:v>1957.3999999999767</c:v>
                </c:pt>
                <c:pt idx="523">
                  <c:v>1989.9999999999752</c:v>
                </c:pt>
                <c:pt idx="524">
                  <c:v>2020.8999999999694</c:v>
                </c:pt>
                <c:pt idx="525">
                  <c:v>1998.1999999999687</c:v>
                </c:pt>
                <c:pt idx="526">
                  <c:v>2059.9999999999714</c:v>
                </c:pt>
                <c:pt idx="527">
                  <c:v>2034.9999999999714</c:v>
                </c:pt>
                <c:pt idx="528">
                  <c:v>2010.6499999999728</c:v>
                </c:pt>
                <c:pt idx="529">
                  <c:v>2027.1999999999721</c:v>
                </c:pt>
                <c:pt idx="530">
                  <c:v>2005.5499999999743</c:v>
                </c:pt>
                <c:pt idx="531">
                  <c:v>1990.0999999999735</c:v>
                </c:pt>
                <c:pt idx="532">
                  <c:v>2043.4499999999721</c:v>
                </c:pt>
                <c:pt idx="533">
                  <c:v>2029.1499999999728</c:v>
                </c:pt>
                <c:pt idx="534">
                  <c:v>2004.4499999999721</c:v>
                </c:pt>
                <c:pt idx="535">
                  <c:v>1965.999999999975</c:v>
                </c:pt>
                <c:pt idx="536">
                  <c:v>1935.8499999999772</c:v>
                </c:pt>
                <c:pt idx="537">
                  <c:v>1980.2499999999786</c:v>
                </c:pt>
                <c:pt idx="538">
                  <c:v>1961.3999999999764</c:v>
                </c:pt>
                <c:pt idx="539">
                  <c:v>2010.2999999999779</c:v>
                </c:pt>
                <c:pt idx="540">
                  <c:v>1984.8999999999764</c:v>
                </c:pt>
                <c:pt idx="541">
                  <c:v>1967.9499999999757</c:v>
                </c:pt>
                <c:pt idx="542">
                  <c:v>2030.0499999999815</c:v>
                </c:pt>
                <c:pt idx="543">
                  <c:v>2009.6999999999794</c:v>
                </c:pt>
                <c:pt idx="544">
                  <c:v>1996.8999999999801</c:v>
                </c:pt>
                <c:pt idx="545">
                  <c:v>1982.6999999999794</c:v>
                </c:pt>
                <c:pt idx="546">
                  <c:v>1963.6999999999794</c:v>
                </c:pt>
                <c:pt idx="547">
                  <c:v>2010.7999999999779</c:v>
                </c:pt>
                <c:pt idx="548">
                  <c:v>2058.5999999999735</c:v>
                </c:pt>
                <c:pt idx="549">
                  <c:v>2042.7499999999714</c:v>
                </c:pt>
                <c:pt idx="550">
                  <c:v>2066.5499999999743</c:v>
                </c:pt>
                <c:pt idx="551">
                  <c:v>2097.3499999999735</c:v>
                </c:pt>
                <c:pt idx="552">
                  <c:v>2147.9999999999714</c:v>
                </c:pt>
                <c:pt idx="553">
                  <c:v>2188.9999999999714</c:v>
                </c:pt>
                <c:pt idx="554">
                  <c:v>2226.8999999999728</c:v>
                </c:pt>
                <c:pt idx="555">
                  <c:v>2183.6999999999721</c:v>
                </c:pt>
                <c:pt idx="556">
                  <c:v>2231.5999999999735</c:v>
                </c:pt>
                <c:pt idx="557">
                  <c:v>2259.6999999999721</c:v>
                </c:pt>
                <c:pt idx="558">
                  <c:v>2243.7499999999714</c:v>
                </c:pt>
                <c:pt idx="559">
                  <c:v>2150.9499999999721</c:v>
                </c:pt>
                <c:pt idx="560">
                  <c:v>2176.9999999999714</c:v>
                </c:pt>
                <c:pt idx="561">
                  <c:v>2226.0999999999699</c:v>
                </c:pt>
                <c:pt idx="562">
                  <c:v>2211.4499999999684</c:v>
                </c:pt>
                <c:pt idx="563">
                  <c:v>2195.9499999999684</c:v>
                </c:pt>
                <c:pt idx="564">
                  <c:v>2133.0999999999699</c:v>
                </c:pt>
                <c:pt idx="565">
                  <c:v>2174.5999999999699</c:v>
                </c:pt>
                <c:pt idx="566">
                  <c:v>2160.9499999999684</c:v>
                </c:pt>
                <c:pt idx="567">
                  <c:v>2238.4499999999684</c:v>
                </c:pt>
                <c:pt idx="568">
                  <c:v>2222.4999999999677</c:v>
                </c:pt>
                <c:pt idx="569">
                  <c:v>2211.9499999999684</c:v>
                </c:pt>
                <c:pt idx="570">
                  <c:v>2195.6499999999655</c:v>
                </c:pt>
                <c:pt idx="571">
                  <c:v>2235.9499999999684</c:v>
                </c:pt>
                <c:pt idx="572">
                  <c:v>2214.799999999967</c:v>
                </c:pt>
                <c:pt idx="573">
                  <c:v>2182.9499999999684</c:v>
                </c:pt>
                <c:pt idx="574">
                  <c:v>2211.7499999999641</c:v>
                </c:pt>
                <c:pt idx="575">
                  <c:v>2194.6499999999619</c:v>
                </c:pt>
                <c:pt idx="576">
                  <c:v>2118.4999999999604</c:v>
                </c:pt>
                <c:pt idx="577">
                  <c:v>2102.349999999959</c:v>
                </c:pt>
                <c:pt idx="578">
                  <c:v>2143.2499999999604</c:v>
                </c:pt>
                <c:pt idx="579">
                  <c:v>2129.0499999999633</c:v>
                </c:pt>
                <c:pt idx="580">
                  <c:v>2162.1499999999619</c:v>
                </c:pt>
                <c:pt idx="581">
                  <c:v>2147.6499999999619</c:v>
                </c:pt>
                <c:pt idx="582">
                  <c:v>2203.5499999999633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95-4831-9633-6ED5E3561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544"/>
        <c:axId val="1679933456"/>
      </c:lineChart>
      <c:catAx>
        <c:axId val="19452965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933456"/>
        <c:crosses val="autoZero"/>
        <c:auto val="1"/>
        <c:lblAlgn val="ctr"/>
        <c:lblOffset val="100"/>
        <c:noMultiLvlLbl val="0"/>
      </c:catAx>
      <c:valAx>
        <c:axId val="167993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296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73024</xdr:colOff>
      <xdr:row>11</xdr:row>
      <xdr:rowOff>36511</xdr:rowOff>
    </xdr:from>
    <xdr:to>
      <xdr:col>31</xdr:col>
      <xdr:colOff>361949</xdr:colOff>
      <xdr:row>50</xdr:row>
      <xdr:rowOff>152399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099603B-AF0F-E079-6DA7-DF3539701B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558AC7-86D6-4CB0-A983-093D337E604E}" name="TradeData" displayName="TradeData" ref="A1:N584" totalsRowShown="0">
  <autoFilter ref="A1:N584" xr:uid="{1A558AC7-86D6-4CB0-A983-093D337E604E}"/>
  <tableColumns count="14">
    <tableColumn id="1" xr3:uid="{9DA1DEE7-E829-4A58-84E4-F2E918AAF017}" name="EntryTime"/>
    <tableColumn id="2" xr3:uid="{FF8532D2-2156-420D-9CDB-126AF3D1555E}" name="ExitTime"/>
    <tableColumn id="3" xr3:uid="{2C9F0692-1037-4738-BDEC-D4484C0372D6}" name="Direction"/>
    <tableColumn id="4" xr3:uid="{5C3C16E0-F7B7-40FA-86FE-07064F1A9EFC}" name="Entry"/>
    <tableColumn id="5" xr3:uid="{2E516453-364A-43A8-B469-3D2D15DC8D4F}" name="StopLoss"/>
    <tableColumn id="6" xr3:uid="{33410685-0A58-418F-92C9-3ACC2068A272}" name="Target"/>
    <tableColumn id="7" xr3:uid="{07A83D35-8F82-472A-9630-2132D87051F9}" name="ExitPrice"/>
    <tableColumn id="8" xr3:uid="{8B02C2C0-AFA7-42D1-A741-1D8169BA84D3}" name="Outcome"/>
    <tableColumn id="9" xr3:uid="{D7E361F8-668D-4AAD-9EBA-1629172F6719}" name="Risk"/>
    <tableColumn id="10" xr3:uid="{343ACE05-EAC0-4C20-BA48-F9BEC65DB05F}" name="Reward"/>
    <tableColumn id="11" xr3:uid="{B3D9816C-08DE-4D49-A720-46DE211658D9}" name="PnL"/>
    <tableColumn id="12" xr3:uid="{B6C47DD2-7321-47FB-941A-2EDDC1FD4D66}" name="Equity" dataDxfId="2">
      <calculatedColumnFormula>SUM($K$2:K2)</calculatedColumnFormula>
    </tableColumn>
    <tableColumn id="13" xr3:uid="{04DF5E22-4DC2-44F1-8310-AE5A42E8E8C5}" name="Peak" dataDxfId="1">
      <calculatedColumnFormula>MAX($L$2:L2)</calculatedColumnFormula>
    </tableColumn>
    <tableColumn id="14" xr3:uid="{86CBD6B9-5F37-4DB3-904D-3F5640423E61}" name="Drawdown" dataDxfId="0">
      <calculatedColumnFormula>M2-L2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4"/>
  <sheetViews>
    <sheetView tabSelected="1" workbookViewId="0">
      <selection activeCell="AG29" sqref="AG29"/>
    </sheetView>
  </sheetViews>
  <sheetFormatPr defaultRowHeight="14.5" x14ac:dyDescent="0.35"/>
  <cols>
    <col min="1" max="2" width="23.453125" bestFit="1" customWidth="1"/>
    <col min="3" max="3" width="11" bestFit="1" customWidth="1"/>
    <col min="4" max="4" width="8.81640625" customWidth="1"/>
    <col min="5" max="5" width="10.6328125" bestFit="1" customWidth="1"/>
    <col min="6" max="6" width="8.81640625" customWidth="1"/>
    <col min="7" max="7" width="10.6328125" bestFit="1" customWidth="1"/>
    <col min="8" max="8" width="11.1796875" bestFit="1" customWidth="1"/>
    <col min="9" max="9" width="6.81640625" bestFit="1" customWidth="1"/>
    <col min="10" max="10" width="9.6328125" bestFit="1" customWidth="1"/>
    <col min="11" max="11" width="7.453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1123</v>
      </c>
      <c r="M1" t="s">
        <v>1124</v>
      </c>
      <c r="N1" t="s">
        <v>1125</v>
      </c>
    </row>
    <row r="2" spans="1:14" x14ac:dyDescent="0.35">
      <c r="A2" t="s">
        <v>11</v>
      </c>
      <c r="B2" t="s">
        <v>12</v>
      </c>
      <c r="C2" t="s">
        <v>13</v>
      </c>
      <c r="D2">
        <v>24144.55</v>
      </c>
      <c r="E2">
        <v>24126.55</v>
      </c>
      <c r="F2">
        <v>24180.55</v>
      </c>
      <c r="G2">
        <v>24180.55</v>
      </c>
      <c r="H2" t="s">
        <v>14</v>
      </c>
      <c r="I2">
        <v>18</v>
      </c>
      <c r="J2">
        <v>36</v>
      </c>
      <c r="K2">
        <v>36</v>
      </c>
      <c r="L2">
        <f>SUM($K$2:K2)</f>
        <v>36</v>
      </c>
      <c r="M2">
        <f>MAX($L$2:L2)</f>
        <v>36</v>
      </c>
      <c r="N2">
        <f t="shared" ref="N2:N65" si="0">M2-L2</f>
        <v>0</v>
      </c>
    </row>
    <row r="3" spans="1:14" x14ac:dyDescent="0.35">
      <c r="A3" t="s">
        <v>12</v>
      </c>
      <c r="B3" t="s">
        <v>15</v>
      </c>
      <c r="C3" t="s">
        <v>13</v>
      </c>
      <c r="D3">
        <v>24186.5</v>
      </c>
      <c r="E3">
        <v>24147.5</v>
      </c>
      <c r="F3">
        <v>24264.5</v>
      </c>
      <c r="G3">
        <v>24147.5</v>
      </c>
      <c r="H3" t="s">
        <v>16</v>
      </c>
      <c r="I3">
        <v>39</v>
      </c>
      <c r="J3">
        <v>78</v>
      </c>
      <c r="K3">
        <v>-39</v>
      </c>
      <c r="L3">
        <f>SUM($K$2:K3)</f>
        <v>-3</v>
      </c>
      <c r="M3">
        <f>MAX($L$2:L3)</f>
        <v>36</v>
      </c>
      <c r="N3">
        <f t="shared" si="0"/>
        <v>39</v>
      </c>
    </row>
    <row r="4" spans="1:14" x14ac:dyDescent="0.35">
      <c r="A4" t="s">
        <v>17</v>
      </c>
      <c r="B4" t="s">
        <v>18</v>
      </c>
      <c r="C4" t="s">
        <v>13</v>
      </c>
      <c r="D4">
        <v>24329.65</v>
      </c>
      <c r="E4">
        <v>24300.05</v>
      </c>
      <c r="F4">
        <v>24388.85</v>
      </c>
      <c r="G4">
        <v>24388.85</v>
      </c>
      <c r="H4" t="s">
        <v>14</v>
      </c>
      <c r="I4">
        <v>29.600000000002101</v>
      </c>
      <c r="J4">
        <v>59.200000000004302</v>
      </c>
      <c r="K4">
        <v>59.200000000004302</v>
      </c>
      <c r="L4">
        <f>SUM($K$2:K4)</f>
        <v>56.200000000004302</v>
      </c>
      <c r="M4">
        <f>MAX($L$2:L4)</f>
        <v>56.200000000004302</v>
      </c>
      <c r="N4">
        <f t="shared" si="0"/>
        <v>0</v>
      </c>
    </row>
    <row r="5" spans="1:14" x14ac:dyDescent="0.35">
      <c r="A5" t="s">
        <v>19</v>
      </c>
      <c r="B5" t="s">
        <v>20</v>
      </c>
      <c r="C5" t="s">
        <v>13</v>
      </c>
      <c r="D5">
        <v>24439.1</v>
      </c>
      <c r="E5">
        <v>24400.55</v>
      </c>
      <c r="F5">
        <v>24516.199999999899</v>
      </c>
      <c r="G5">
        <v>24400.55</v>
      </c>
      <c r="H5" t="s">
        <v>16</v>
      </c>
      <c r="I5">
        <v>38.549999999999201</v>
      </c>
      <c r="J5">
        <v>77.099999999998502</v>
      </c>
      <c r="K5">
        <v>-38.549999999999201</v>
      </c>
      <c r="L5">
        <f>SUM($K$2:K5)</f>
        <v>17.6500000000051</v>
      </c>
      <c r="M5">
        <f>MAX($L$2:L5)</f>
        <v>56.200000000004302</v>
      </c>
      <c r="N5">
        <f t="shared" si="0"/>
        <v>38.549999999999201</v>
      </c>
    </row>
    <row r="6" spans="1:14" x14ac:dyDescent="0.35">
      <c r="A6" t="s">
        <v>21</v>
      </c>
      <c r="B6" t="s">
        <v>22</v>
      </c>
      <c r="C6" t="s">
        <v>13</v>
      </c>
      <c r="D6">
        <v>24455.15</v>
      </c>
      <c r="E6">
        <v>24418</v>
      </c>
      <c r="F6">
        <v>24529.45</v>
      </c>
      <c r="G6">
        <v>24445.85</v>
      </c>
      <c r="H6" t="s">
        <v>23</v>
      </c>
      <c r="I6">
        <v>37.150000000001398</v>
      </c>
      <c r="J6">
        <v>74.300000000002896</v>
      </c>
      <c r="K6">
        <v>-9.3000000000029104</v>
      </c>
      <c r="L6">
        <f>SUM($K$2:K6)</f>
        <v>8.3500000000021899</v>
      </c>
      <c r="M6">
        <f>MAX($L$2:L6)</f>
        <v>56.200000000004302</v>
      </c>
      <c r="N6">
        <f t="shared" si="0"/>
        <v>47.850000000002112</v>
      </c>
    </row>
    <row r="7" spans="1:14" x14ac:dyDescent="0.35">
      <c r="A7" t="s">
        <v>24</v>
      </c>
      <c r="B7" t="s">
        <v>25</v>
      </c>
      <c r="C7" t="s">
        <v>13</v>
      </c>
      <c r="D7">
        <v>24500.25</v>
      </c>
      <c r="E7">
        <v>24465.05</v>
      </c>
      <c r="F7">
        <v>24570.65</v>
      </c>
      <c r="G7">
        <v>24570.65</v>
      </c>
      <c r="H7" t="s">
        <v>14</v>
      </c>
      <c r="I7">
        <v>35.200000000000699</v>
      </c>
      <c r="J7">
        <v>70.400000000001398</v>
      </c>
      <c r="K7">
        <v>70.400000000001398</v>
      </c>
      <c r="L7">
        <f>SUM($K$2:K7)</f>
        <v>78.750000000003581</v>
      </c>
      <c r="M7">
        <f>MAX($L$2:L7)</f>
        <v>78.750000000003581</v>
      </c>
      <c r="N7">
        <f t="shared" si="0"/>
        <v>0</v>
      </c>
    </row>
    <row r="8" spans="1:14" x14ac:dyDescent="0.35">
      <c r="A8" t="s">
        <v>26</v>
      </c>
      <c r="B8" t="s">
        <v>27</v>
      </c>
      <c r="C8" t="s">
        <v>13</v>
      </c>
      <c r="D8">
        <v>24545.8</v>
      </c>
      <c r="E8">
        <v>24527</v>
      </c>
      <c r="F8">
        <v>24583.3999999999</v>
      </c>
      <c r="G8">
        <v>24527</v>
      </c>
      <c r="H8" t="s">
        <v>16</v>
      </c>
      <c r="I8">
        <v>18.799999999999201</v>
      </c>
      <c r="J8">
        <v>37.599999999998502</v>
      </c>
      <c r="K8">
        <v>-18.799999999999201</v>
      </c>
      <c r="L8">
        <f>SUM($K$2:K8)</f>
        <v>59.95000000000438</v>
      </c>
      <c r="M8">
        <f>MAX($L$2:L8)</f>
        <v>78.750000000003581</v>
      </c>
      <c r="N8">
        <f t="shared" si="0"/>
        <v>18.799999999999201</v>
      </c>
    </row>
    <row r="9" spans="1:14" x14ac:dyDescent="0.35">
      <c r="A9" t="s">
        <v>28</v>
      </c>
      <c r="B9" t="s">
        <v>29</v>
      </c>
      <c r="C9" t="s">
        <v>13</v>
      </c>
      <c r="D9">
        <v>24544.1</v>
      </c>
      <c r="E9">
        <v>24520.25</v>
      </c>
      <c r="F9">
        <v>24591.799999999901</v>
      </c>
      <c r="G9">
        <v>24520.25</v>
      </c>
      <c r="H9" t="s">
        <v>16</v>
      </c>
      <c r="I9">
        <v>23.849999999998499</v>
      </c>
      <c r="J9">
        <v>47.699999999996997</v>
      </c>
      <c r="K9">
        <v>-23.849999999998499</v>
      </c>
      <c r="L9">
        <f>SUM($K$2:K9)</f>
        <v>36.100000000005878</v>
      </c>
      <c r="M9">
        <f>MAX($L$2:L9)</f>
        <v>78.750000000003581</v>
      </c>
      <c r="N9">
        <f t="shared" si="0"/>
        <v>42.649999999997704</v>
      </c>
    </row>
    <row r="10" spans="1:14" x14ac:dyDescent="0.35">
      <c r="A10" t="s">
        <v>30</v>
      </c>
      <c r="B10" t="s">
        <v>31</v>
      </c>
      <c r="C10" t="s">
        <v>32</v>
      </c>
      <c r="D10">
        <v>24420.5</v>
      </c>
      <c r="E10">
        <v>24482.400000000001</v>
      </c>
      <c r="F10">
        <v>24296.699999999899</v>
      </c>
      <c r="G10">
        <v>24296.699999999899</v>
      </c>
      <c r="H10" t="s">
        <v>14</v>
      </c>
      <c r="I10">
        <v>61.900000000001398</v>
      </c>
      <c r="J10">
        <v>123.800000000002</v>
      </c>
      <c r="K10">
        <v>123.800000000002</v>
      </c>
      <c r="L10">
        <f>SUM($K$2:K10)</f>
        <v>159.90000000000788</v>
      </c>
      <c r="M10">
        <f>MAX($L$2:L10)</f>
        <v>159.90000000000788</v>
      </c>
      <c r="N10">
        <f t="shared" si="0"/>
        <v>0</v>
      </c>
    </row>
    <row r="11" spans="1:14" x14ac:dyDescent="0.35">
      <c r="A11" t="s">
        <v>31</v>
      </c>
      <c r="B11" t="s">
        <v>33</v>
      </c>
      <c r="C11" t="s">
        <v>32</v>
      </c>
      <c r="D11">
        <v>24333.55</v>
      </c>
      <c r="E11">
        <v>24412.799999999999</v>
      </c>
      <c r="F11">
        <v>24175.05</v>
      </c>
      <c r="G11">
        <v>24412.799999999999</v>
      </c>
      <c r="H11" t="s">
        <v>16</v>
      </c>
      <c r="I11">
        <v>79.25</v>
      </c>
      <c r="J11">
        <v>158.5</v>
      </c>
      <c r="K11">
        <v>-79.25</v>
      </c>
      <c r="L11">
        <f>SUM($K$2:K11)</f>
        <v>80.650000000007878</v>
      </c>
      <c r="M11">
        <f>MAX($L$2:L11)</f>
        <v>159.90000000000788</v>
      </c>
      <c r="N11">
        <f t="shared" si="0"/>
        <v>79.25</v>
      </c>
    </row>
    <row r="12" spans="1:14" x14ac:dyDescent="0.35">
      <c r="A12" t="s">
        <v>34</v>
      </c>
      <c r="B12" t="s">
        <v>35</v>
      </c>
      <c r="C12" t="s">
        <v>13</v>
      </c>
      <c r="D12">
        <v>24650.7</v>
      </c>
      <c r="E12">
        <v>24601.3</v>
      </c>
      <c r="F12">
        <v>24749.5</v>
      </c>
      <c r="G12">
        <v>24749.5</v>
      </c>
      <c r="H12" t="s">
        <v>14</v>
      </c>
      <c r="I12">
        <v>49.400000000001398</v>
      </c>
      <c r="J12">
        <v>98.800000000002896</v>
      </c>
      <c r="K12">
        <v>98.800000000002896</v>
      </c>
      <c r="L12">
        <f>SUM($K$2:K12)</f>
        <v>179.45000000001079</v>
      </c>
      <c r="M12">
        <f>MAX($L$2:L12)</f>
        <v>179.45000000001079</v>
      </c>
      <c r="N12">
        <f t="shared" si="0"/>
        <v>0</v>
      </c>
    </row>
    <row r="13" spans="1:14" x14ac:dyDescent="0.35">
      <c r="A13" t="s">
        <v>35</v>
      </c>
      <c r="B13" t="s">
        <v>36</v>
      </c>
      <c r="C13" t="s">
        <v>13</v>
      </c>
      <c r="D13">
        <v>24736.799999999999</v>
      </c>
      <c r="E13">
        <v>24652.65</v>
      </c>
      <c r="F13">
        <v>24905.0999999999</v>
      </c>
      <c r="G13">
        <v>24652.65</v>
      </c>
      <c r="H13" t="s">
        <v>16</v>
      </c>
      <c r="I13">
        <v>84.149999999997803</v>
      </c>
      <c r="J13">
        <v>168.29999999999501</v>
      </c>
      <c r="K13">
        <v>-84.149999999997803</v>
      </c>
      <c r="L13">
        <f>SUM($K$2:K13)</f>
        <v>95.300000000012986</v>
      </c>
      <c r="M13">
        <f>MAX($L$2:L13)</f>
        <v>179.45000000001079</v>
      </c>
      <c r="N13">
        <f t="shared" si="0"/>
        <v>84.149999999997803</v>
      </c>
    </row>
    <row r="14" spans="1:14" x14ac:dyDescent="0.35">
      <c r="A14" t="s">
        <v>37</v>
      </c>
      <c r="B14" t="s">
        <v>38</v>
      </c>
      <c r="C14" t="s">
        <v>13</v>
      </c>
      <c r="D14">
        <v>24711.8</v>
      </c>
      <c r="E14">
        <v>24682.95</v>
      </c>
      <c r="F14">
        <v>24769.499999999902</v>
      </c>
      <c r="G14">
        <v>24682.95</v>
      </c>
      <c r="H14" t="s">
        <v>16</v>
      </c>
      <c r="I14">
        <v>28.849999999998499</v>
      </c>
      <c r="J14">
        <v>57.699999999996997</v>
      </c>
      <c r="K14">
        <v>-28.849999999998499</v>
      </c>
      <c r="L14">
        <f>SUM($K$2:K14)</f>
        <v>66.450000000014484</v>
      </c>
      <c r="M14">
        <f>MAX($L$2:L14)</f>
        <v>179.45000000001079</v>
      </c>
      <c r="N14">
        <f t="shared" si="0"/>
        <v>112.99999999999631</v>
      </c>
    </row>
    <row r="15" spans="1:14" x14ac:dyDescent="0.35">
      <c r="A15" t="s">
        <v>39</v>
      </c>
      <c r="B15" t="s">
        <v>40</v>
      </c>
      <c r="C15" t="s">
        <v>13</v>
      </c>
      <c r="D15">
        <v>24726.95</v>
      </c>
      <c r="E15">
        <v>24675.7</v>
      </c>
      <c r="F15">
        <v>24829.45</v>
      </c>
      <c r="G15">
        <v>24675.7</v>
      </c>
      <c r="H15" t="s">
        <v>16</v>
      </c>
      <c r="I15">
        <v>51.25</v>
      </c>
      <c r="J15">
        <v>102.5</v>
      </c>
      <c r="K15">
        <v>-51.25</v>
      </c>
      <c r="L15">
        <f>SUM($K$2:K15)</f>
        <v>15.200000000014484</v>
      </c>
      <c r="M15">
        <f>MAX($L$2:L15)</f>
        <v>179.45000000001079</v>
      </c>
      <c r="N15">
        <f t="shared" si="0"/>
        <v>164.24999999999631</v>
      </c>
    </row>
    <row r="16" spans="1:14" x14ac:dyDescent="0.35">
      <c r="A16" t="s">
        <v>41</v>
      </c>
      <c r="B16" t="s">
        <v>42</v>
      </c>
      <c r="C16" t="s">
        <v>32</v>
      </c>
      <c r="D16">
        <v>24640</v>
      </c>
      <c r="E16">
        <v>24660.15</v>
      </c>
      <c r="F16">
        <v>24599.699999999899</v>
      </c>
      <c r="G16">
        <v>24660.15</v>
      </c>
      <c r="H16" t="s">
        <v>16</v>
      </c>
      <c r="I16">
        <v>20.150000000001398</v>
      </c>
      <c r="J16">
        <v>40.300000000002903</v>
      </c>
      <c r="K16">
        <v>-20.150000000001398</v>
      </c>
      <c r="L16">
        <f>SUM($K$2:K16)</f>
        <v>-4.9499999999869146</v>
      </c>
      <c r="M16">
        <f>MAX($L$2:L16)</f>
        <v>179.45000000001079</v>
      </c>
      <c r="N16">
        <f t="shared" si="0"/>
        <v>184.3999999999977</v>
      </c>
    </row>
    <row r="17" spans="1:14" x14ac:dyDescent="0.35">
      <c r="A17" t="s">
        <v>43</v>
      </c>
      <c r="B17" t="s">
        <v>44</v>
      </c>
      <c r="C17" t="s">
        <v>32</v>
      </c>
      <c r="D17">
        <v>24622.65</v>
      </c>
      <c r="E17">
        <v>24650</v>
      </c>
      <c r="F17">
        <v>24567.95</v>
      </c>
      <c r="G17">
        <v>24650</v>
      </c>
      <c r="H17" t="s">
        <v>16</v>
      </c>
      <c r="I17">
        <v>27.349999999998499</v>
      </c>
      <c r="J17">
        <v>54.699999999996997</v>
      </c>
      <c r="K17">
        <v>-27.349999999998499</v>
      </c>
      <c r="L17">
        <f>SUM($K$2:K17)</f>
        <v>-32.299999999985417</v>
      </c>
      <c r="M17">
        <f>MAX($L$2:L17)</f>
        <v>179.45000000001079</v>
      </c>
      <c r="N17">
        <f t="shared" si="0"/>
        <v>211.74999999999619</v>
      </c>
    </row>
    <row r="18" spans="1:14" x14ac:dyDescent="0.35">
      <c r="A18" t="s">
        <v>45</v>
      </c>
      <c r="B18" t="s">
        <v>46</v>
      </c>
      <c r="C18" t="s">
        <v>13</v>
      </c>
      <c r="D18">
        <v>24658.35</v>
      </c>
      <c r="E18">
        <v>24636.05</v>
      </c>
      <c r="F18">
        <v>24702.949999999899</v>
      </c>
      <c r="G18">
        <v>24636.05</v>
      </c>
      <c r="H18" t="s">
        <v>16</v>
      </c>
      <c r="I18">
        <v>22.299999999999201</v>
      </c>
      <c r="J18">
        <v>44.599999999998502</v>
      </c>
      <c r="K18">
        <v>-22.299999999999201</v>
      </c>
      <c r="L18">
        <f>SUM($K$2:K18)</f>
        <v>-54.599999999984618</v>
      </c>
      <c r="M18">
        <f>MAX($L$2:L18)</f>
        <v>179.45000000001079</v>
      </c>
      <c r="N18">
        <f t="shared" si="0"/>
        <v>234.04999999999541</v>
      </c>
    </row>
    <row r="19" spans="1:14" x14ac:dyDescent="0.35">
      <c r="A19" t="s">
        <v>47</v>
      </c>
      <c r="B19" t="s">
        <v>48</v>
      </c>
      <c r="C19" t="s">
        <v>32</v>
      </c>
      <c r="D19">
        <v>24620.799999999999</v>
      </c>
      <c r="E19">
        <v>24634.15</v>
      </c>
      <c r="F19">
        <v>24594.0999999999</v>
      </c>
      <c r="G19">
        <v>24594.0999999999</v>
      </c>
      <c r="H19" t="s">
        <v>14</v>
      </c>
      <c r="I19">
        <v>13.350000000002099</v>
      </c>
      <c r="J19">
        <v>26.700000000004302</v>
      </c>
      <c r="K19">
        <v>26.700000000004302</v>
      </c>
      <c r="L19">
        <f>SUM($K$2:K19)</f>
        <v>-27.899999999980317</v>
      </c>
      <c r="M19">
        <f>MAX($L$2:L19)</f>
        <v>179.45000000001079</v>
      </c>
      <c r="N19">
        <f t="shared" si="0"/>
        <v>207.3499999999911</v>
      </c>
    </row>
    <row r="20" spans="1:14" x14ac:dyDescent="0.35">
      <c r="A20" t="s">
        <v>48</v>
      </c>
      <c r="B20" t="s">
        <v>49</v>
      </c>
      <c r="C20" t="s">
        <v>32</v>
      </c>
      <c r="D20">
        <v>24591.75</v>
      </c>
      <c r="E20">
        <v>24621</v>
      </c>
      <c r="F20">
        <v>24533.25</v>
      </c>
      <c r="G20">
        <v>24533.25</v>
      </c>
      <c r="H20" t="s">
        <v>14</v>
      </c>
      <c r="I20">
        <v>29.25</v>
      </c>
      <c r="J20">
        <v>58.5</v>
      </c>
      <c r="K20">
        <v>58.5</v>
      </c>
      <c r="L20">
        <f>SUM($K$2:K20)</f>
        <v>30.600000000019683</v>
      </c>
      <c r="M20">
        <f>MAX($L$2:L20)</f>
        <v>179.45000000001079</v>
      </c>
      <c r="N20">
        <f t="shared" si="0"/>
        <v>148.8499999999911</v>
      </c>
    </row>
    <row r="21" spans="1:14" x14ac:dyDescent="0.35">
      <c r="A21" t="s">
        <v>50</v>
      </c>
      <c r="B21" t="s">
        <v>51</v>
      </c>
      <c r="C21" t="s">
        <v>32</v>
      </c>
      <c r="D21">
        <v>24544.35</v>
      </c>
      <c r="E21">
        <v>24569.95</v>
      </c>
      <c r="F21">
        <v>24493.1499999999</v>
      </c>
      <c r="G21">
        <v>24569.95</v>
      </c>
      <c r="H21" t="s">
        <v>16</v>
      </c>
      <c r="I21">
        <v>25.600000000002101</v>
      </c>
      <c r="J21">
        <v>51.200000000004302</v>
      </c>
      <c r="K21">
        <v>-25.600000000002101</v>
      </c>
      <c r="L21">
        <f>SUM($K$2:K21)</f>
        <v>5.0000000000175824</v>
      </c>
      <c r="M21">
        <f>MAX($L$2:L21)</f>
        <v>179.45000000001079</v>
      </c>
      <c r="N21">
        <f t="shared" si="0"/>
        <v>174.4499999999932</v>
      </c>
    </row>
    <row r="22" spans="1:14" x14ac:dyDescent="0.35">
      <c r="A22" t="s">
        <v>52</v>
      </c>
      <c r="B22" t="s">
        <v>53</v>
      </c>
      <c r="C22" t="s">
        <v>13</v>
      </c>
      <c r="D22">
        <v>24614.15</v>
      </c>
      <c r="E22">
        <v>24583.85</v>
      </c>
      <c r="F22">
        <v>24674.75</v>
      </c>
      <c r="G22">
        <v>24674.75</v>
      </c>
      <c r="H22" t="s">
        <v>14</v>
      </c>
      <c r="I22">
        <v>30.3000000000029</v>
      </c>
      <c r="J22">
        <v>60.600000000005799</v>
      </c>
      <c r="K22">
        <v>60.600000000005799</v>
      </c>
      <c r="L22">
        <f>SUM($K$2:K22)</f>
        <v>65.600000000023385</v>
      </c>
      <c r="M22">
        <f>MAX($L$2:L22)</f>
        <v>179.45000000001079</v>
      </c>
      <c r="N22">
        <f t="shared" si="0"/>
        <v>113.8499999999874</v>
      </c>
    </row>
    <row r="23" spans="1:14" x14ac:dyDescent="0.35">
      <c r="A23" t="s">
        <v>54</v>
      </c>
      <c r="B23" t="s">
        <v>55</v>
      </c>
      <c r="C23" t="s">
        <v>13</v>
      </c>
      <c r="D23">
        <v>24674.7</v>
      </c>
      <c r="E23">
        <v>24651.200000000001</v>
      </c>
      <c r="F23">
        <v>24721.7</v>
      </c>
      <c r="G23">
        <v>24651.200000000001</v>
      </c>
      <c r="H23" t="s">
        <v>16</v>
      </c>
      <c r="I23">
        <v>23.5</v>
      </c>
      <c r="J23">
        <v>47</v>
      </c>
      <c r="K23">
        <v>-23.5</v>
      </c>
      <c r="L23">
        <f>SUM($K$2:K23)</f>
        <v>42.100000000023385</v>
      </c>
      <c r="M23">
        <f>MAX($L$2:L23)</f>
        <v>179.45000000001079</v>
      </c>
      <c r="N23">
        <f t="shared" si="0"/>
        <v>137.3499999999874</v>
      </c>
    </row>
    <row r="24" spans="1:14" x14ac:dyDescent="0.35">
      <c r="A24" t="s">
        <v>56</v>
      </c>
      <c r="B24" t="s">
        <v>57</v>
      </c>
      <c r="C24" t="s">
        <v>32</v>
      </c>
      <c r="D24">
        <v>24634.25</v>
      </c>
      <c r="E24">
        <v>24655.200000000001</v>
      </c>
      <c r="F24">
        <v>24592.35</v>
      </c>
      <c r="G24">
        <v>24629.5</v>
      </c>
      <c r="H24" t="s">
        <v>23</v>
      </c>
      <c r="I24">
        <v>20.950000000000699</v>
      </c>
      <c r="J24">
        <v>41.900000000001398</v>
      </c>
      <c r="K24">
        <v>4.75</v>
      </c>
      <c r="L24">
        <f>SUM($K$2:K24)</f>
        <v>46.850000000023385</v>
      </c>
      <c r="M24">
        <f>MAX($L$2:L24)</f>
        <v>179.45000000001079</v>
      </c>
      <c r="N24">
        <f t="shared" si="0"/>
        <v>132.5999999999874</v>
      </c>
    </row>
    <row r="25" spans="1:14" x14ac:dyDescent="0.35">
      <c r="A25" t="s">
        <v>58</v>
      </c>
      <c r="B25" t="s">
        <v>59</v>
      </c>
      <c r="C25" t="s">
        <v>13</v>
      </c>
      <c r="D25">
        <v>24666.7</v>
      </c>
      <c r="E25">
        <v>24653.95</v>
      </c>
      <c r="F25">
        <v>24692.2</v>
      </c>
      <c r="G25">
        <v>24653.95</v>
      </c>
      <c r="H25" t="s">
        <v>16</v>
      </c>
      <c r="I25">
        <v>12.75</v>
      </c>
      <c r="J25">
        <v>25.5</v>
      </c>
      <c r="K25">
        <v>-12.75</v>
      </c>
      <c r="L25">
        <f>SUM($K$2:K25)</f>
        <v>34.100000000023385</v>
      </c>
      <c r="M25">
        <f>MAX($L$2:L25)</f>
        <v>179.45000000001079</v>
      </c>
      <c r="N25">
        <f t="shared" si="0"/>
        <v>145.3499999999874</v>
      </c>
    </row>
    <row r="26" spans="1:14" x14ac:dyDescent="0.35">
      <c r="A26" t="s">
        <v>60</v>
      </c>
      <c r="B26" t="s">
        <v>61</v>
      </c>
      <c r="C26" t="s">
        <v>32</v>
      </c>
      <c r="D26">
        <v>24614.55</v>
      </c>
      <c r="E26">
        <v>24640.35</v>
      </c>
      <c r="F26">
        <v>24562.95</v>
      </c>
      <c r="G26">
        <v>24562.95</v>
      </c>
      <c r="H26" t="s">
        <v>14</v>
      </c>
      <c r="I26">
        <v>25.799999999999201</v>
      </c>
      <c r="J26">
        <v>51.599999999998502</v>
      </c>
      <c r="K26">
        <v>51.599999999998502</v>
      </c>
      <c r="L26">
        <f>SUM($K$2:K26)</f>
        <v>85.700000000021888</v>
      </c>
      <c r="M26">
        <f>MAX($L$2:L26)</f>
        <v>179.45000000001079</v>
      </c>
      <c r="N26">
        <f t="shared" si="0"/>
        <v>93.749999999988901</v>
      </c>
    </row>
    <row r="27" spans="1:14" x14ac:dyDescent="0.35">
      <c r="A27" t="s">
        <v>62</v>
      </c>
      <c r="B27" t="s">
        <v>63</v>
      </c>
      <c r="C27" t="s">
        <v>32</v>
      </c>
      <c r="D27">
        <v>24545.85</v>
      </c>
      <c r="E27">
        <v>24560.6</v>
      </c>
      <c r="F27">
        <v>24516.35</v>
      </c>
      <c r="G27">
        <v>24560.6</v>
      </c>
      <c r="H27" t="s">
        <v>16</v>
      </c>
      <c r="I27">
        <v>14.75</v>
      </c>
      <c r="J27">
        <v>29.5</v>
      </c>
      <c r="K27">
        <v>-14.75</v>
      </c>
      <c r="L27">
        <f>SUM($K$2:K27)</f>
        <v>70.950000000021888</v>
      </c>
      <c r="M27">
        <f>MAX($L$2:L27)</f>
        <v>179.45000000001079</v>
      </c>
      <c r="N27">
        <f t="shared" si="0"/>
        <v>108.4999999999889</v>
      </c>
    </row>
    <row r="28" spans="1:14" x14ac:dyDescent="0.35">
      <c r="A28" t="s">
        <v>64</v>
      </c>
      <c r="B28" t="s">
        <v>65</v>
      </c>
      <c r="C28" t="s">
        <v>13</v>
      </c>
      <c r="D28">
        <v>24558.2</v>
      </c>
      <c r="E28">
        <v>24497.9</v>
      </c>
      <c r="F28">
        <v>24678.799999999999</v>
      </c>
      <c r="G28">
        <v>24678.799999999999</v>
      </c>
      <c r="H28" t="s">
        <v>14</v>
      </c>
      <c r="I28">
        <v>60.299999999999201</v>
      </c>
      <c r="J28">
        <v>120.599999999998</v>
      </c>
      <c r="K28">
        <v>120.599999999998</v>
      </c>
      <c r="L28">
        <f>SUM($K$2:K28)</f>
        <v>191.55000000001991</v>
      </c>
      <c r="M28">
        <f>MAX($L$2:L28)</f>
        <v>191.55000000001991</v>
      </c>
      <c r="N28">
        <f t="shared" si="0"/>
        <v>0</v>
      </c>
    </row>
    <row r="29" spans="1:14" x14ac:dyDescent="0.35">
      <c r="A29" t="s">
        <v>66</v>
      </c>
      <c r="B29" t="s">
        <v>67</v>
      </c>
      <c r="C29" t="s">
        <v>13</v>
      </c>
      <c r="D29">
        <v>24636.400000000001</v>
      </c>
      <c r="E29">
        <v>24574.799999999999</v>
      </c>
      <c r="F29">
        <v>24759.599999999999</v>
      </c>
      <c r="G29">
        <v>24759.599999999999</v>
      </c>
      <c r="H29" t="s">
        <v>14</v>
      </c>
      <c r="I29">
        <v>61.600000000002098</v>
      </c>
      <c r="J29">
        <v>123.200000000004</v>
      </c>
      <c r="K29">
        <v>123.200000000004</v>
      </c>
      <c r="L29">
        <f>SUM($K$2:K29)</f>
        <v>314.75000000002387</v>
      </c>
      <c r="M29">
        <f>MAX($L$2:L29)</f>
        <v>314.75000000002387</v>
      </c>
      <c r="N29">
        <f t="shared" si="0"/>
        <v>0</v>
      </c>
    </row>
    <row r="30" spans="1:14" x14ac:dyDescent="0.35">
      <c r="A30" t="s">
        <v>68</v>
      </c>
      <c r="B30" t="s">
        <v>69</v>
      </c>
      <c r="C30" t="s">
        <v>13</v>
      </c>
      <c r="D30">
        <v>24745.15</v>
      </c>
      <c r="E30">
        <v>24728</v>
      </c>
      <c r="F30">
        <v>24779.45</v>
      </c>
      <c r="G30">
        <v>24779.45</v>
      </c>
      <c r="H30" t="s">
        <v>14</v>
      </c>
      <c r="I30">
        <v>17.150000000001398</v>
      </c>
      <c r="J30">
        <v>34.300000000002903</v>
      </c>
      <c r="K30">
        <v>34.300000000002903</v>
      </c>
      <c r="L30">
        <f>SUM($K$2:K30)</f>
        <v>349.05000000002678</v>
      </c>
      <c r="M30">
        <f>MAX($L$2:L30)</f>
        <v>349.05000000002678</v>
      </c>
      <c r="N30">
        <f t="shared" si="0"/>
        <v>0</v>
      </c>
    </row>
    <row r="31" spans="1:14" x14ac:dyDescent="0.35">
      <c r="A31" t="s">
        <v>70</v>
      </c>
      <c r="B31" t="s">
        <v>71</v>
      </c>
      <c r="C31" t="s">
        <v>13</v>
      </c>
      <c r="D31">
        <v>24745.55</v>
      </c>
      <c r="E31">
        <v>24716.1</v>
      </c>
      <c r="F31">
        <v>24804.45</v>
      </c>
      <c r="G31">
        <v>24716.1</v>
      </c>
      <c r="H31" t="s">
        <v>16</v>
      </c>
      <c r="I31">
        <v>29.450000000000699</v>
      </c>
      <c r="J31">
        <v>58.900000000001398</v>
      </c>
      <c r="K31">
        <v>-29.450000000000699</v>
      </c>
      <c r="L31">
        <f>SUM($K$2:K31)</f>
        <v>319.60000000002606</v>
      </c>
      <c r="M31">
        <f>MAX($L$2:L31)</f>
        <v>349.05000000002678</v>
      </c>
      <c r="N31">
        <f t="shared" si="0"/>
        <v>29.450000000000728</v>
      </c>
    </row>
    <row r="32" spans="1:14" x14ac:dyDescent="0.35">
      <c r="A32" t="s">
        <v>72</v>
      </c>
      <c r="B32" t="s">
        <v>73</v>
      </c>
      <c r="C32" t="s">
        <v>32</v>
      </c>
      <c r="D32">
        <v>24676.25</v>
      </c>
      <c r="E32">
        <v>24705.45</v>
      </c>
      <c r="F32">
        <v>24617.85</v>
      </c>
      <c r="G32">
        <v>24617.85</v>
      </c>
      <c r="H32" t="s">
        <v>14</v>
      </c>
      <c r="I32">
        <v>29.200000000000699</v>
      </c>
      <c r="J32">
        <v>58.400000000001398</v>
      </c>
      <c r="K32">
        <v>58.400000000001398</v>
      </c>
      <c r="L32">
        <f>SUM($K$2:K32)</f>
        <v>378.00000000002746</v>
      </c>
      <c r="M32">
        <f>MAX($L$2:L32)</f>
        <v>378.00000000002746</v>
      </c>
      <c r="N32">
        <f t="shared" si="0"/>
        <v>0</v>
      </c>
    </row>
    <row r="33" spans="1:14" x14ac:dyDescent="0.35">
      <c r="A33" t="s">
        <v>74</v>
      </c>
      <c r="B33" t="s">
        <v>75</v>
      </c>
      <c r="C33" t="s">
        <v>32</v>
      </c>
      <c r="D33">
        <v>24636.05</v>
      </c>
      <c r="E33">
        <v>24655.85</v>
      </c>
      <c r="F33">
        <v>24596.45</v>
      </c>
      <c r="G33">
        <v>24655.85</v>
      </c>
      <c r="H33" t="s">
        <v>16</v>
      </c>
      <c r="I33">
        <v>19.799999999999201</v>
      </c>
      <c r="J33">
        <v>39.599999999998502</v>
      </c>
      <c r="K33">
        <v>-19.799999999999201</v>
      </c>
      <c r="L33">
        <f>SUM($K$2:K33)</f>
        <v>358.20000000002824</v>
      </c>
      <c r="M33">
        <f>MAX($L$2:L33)</f>
        <v>378.00000000002746</v>
      </c>
      <c r="N33">
        <f t="shared" si="0"/>
        <v>19.799999999999216</v>
      </c>
    </row>
    <row r="34" spans="1:14" x14ac:dyDescent="0.35">
      <c r="A34" t="s">
        <v>76</v>
      </c>
      <c r="B34" t="s">
        <v>77</v>
      </c>
      <c r="C34" t="s">
        <v>32</v>
      </c>
      <c r="D34">
        <v>24446.25</v>
      </c>
      <c r="E34">
        <v>24470.25</v>
      </c>
      <c r="F34">
        <v>24398.25</v>
      </c>
      <c r="G34">
        <v>24470.25</v>
      </c>
      <c r="H34" t="s">
        <v>16</v>
      </c>
      <c r="I34">
        <v>24</v>
      </c>
      <c r="J34">
        <v>48</v>
      </c>
      <c r="K34">
        <v>-24</v>
      </c>
      <c r="L34">
        <f>SUM($K$2:K34)</f>
        <v>334.20000000002824</v>
      </c>
      <c r="M34">
        <f>MAX($L$2:L34)</f>
        <v>378.00000000002746</v>
      </c>
      <c r="N34">
        <f t="shared" si="0"/>
        <v>43.799999999999216</v>
      </c>
    </row>
    <row r="35" spans="1:14" x14ac:dyDescent="0.35">
      <c r="A35" t="s">
        <v>78</v>
      </c>
      <c r="B35" t="s">
        <v>79</v>
      </c>
      <c r="C35" t="s">
        <v>32</v>
      </c>
      <c r="D35">
        <v>24419.45</v>
      </c>
      <c r="E35">
        <v>24455.05</v>
      </c>
      <c r="F35">
        <v>24348.25</v>
      </c>
      <c r="G35">
        <v>24455.05</v>
      </c>
      <c r="H35" t="s">
        <v>16</v>
      </c>
      <c r="I35">
        <v>35.599999999998502</v>
      </c>
      <c r="J35">
        <v>71.199999999997004</v>
      </c>
      <c r="K35">
        <v>-35.599999999998502</v>
      </c>
      <c r="L35">
        <f>SUM($K$2:K35)</f>
        <v>298.60000000002975</v>
      </c>
      <c r="M35">
        <f>MAX($L$2:L35)</f>
        <v>378.00000000002746</v>
      </c>
      <c r="N35">
        <f t="shared" si="0"/>
        <v>79.399999999997704</v>
      </c>
    </row>
    <row r="36" spans="1:14" x14ac:dyDescent="0.35">
      <c r="A36" t="s">
        <v>80</v>
      </c>
      <c r="B36" t="s">
        <v>81</v>
      </c>
      <c r="C36" t="s">
        <v>32</v>
      </c>
      <c r="D36">
        <v>24312.55</v>
      </c>
      <c r="E36">
        <v>24356</v>
      </c>
      <c r="F36">
        <v>24225.6499999999</v>
      </c>
      <c r="G36">
        <v>24356</v>
      </c>
      <c r="H36" t="s">
        <v>16</v>
      </c>
      <c r="I36">
        <v>43.450000000000699</v>
      </c>
      <c r="J36">
        <v>86.900000000001398</v>
      </c>
      <c r="K36">
        <v>-43.450000000000699</v>
      </c>
      <c r="L36">
        <f>SUM($K$2:K36)</f>
        <v>255.15000000002905</v>
      </c>
      <c r="M36">
        <f>MAX($L$2:L36)</f>
        <v>378.00000000002746</v>
      </c>
      <c r="N36">
        <f t="shared" si="0"/>
        <v>122.8499999999984</v>
      </c>
    </row>
    <row r="37" spans="1:14" x14ac:dyDescent="0.35">
      <c r="A37" t="s">
        <v>82</v>
      </c>
      <c r="B37" t="s">
        <v>83</v>
      </c>
      <c r="C37" t="s">
        <v>32</v>
      </c>
      <c r="D37">
        <v>24257.45</v>
      </c>
      <c r="E37">
        <v>24274.25</v>
      </c>
      <c r="F37">
        <v>24223.85</v>
      </c>
      <c r="G37">
        <v>24274.25</v>
      </c>
      <c r="H37" t="s">
        <v>16</v>
      </c>
      <c r="I37">
        <v>16.799999999999201</v>
      </c>
      <c r="J37">
        <v>33.599999999998502</v>
      </c>
      <c r="K37">
        <v>-16.799999999999201</v>
      </c>
      <c r="L37">
        <f>SUM($K$2:K37)</f>
        <v>238.35000000002987</v>
      </c>
      <c r="M37">
        <f>MAX($L$2:L37)</f>
        <v>378.00000000002746</v>
      </c>
      <c r="N37">
        <f t="shared" si="0"/>
        <v>139.64999999999759</v>
      </c>
    </row>
    <row r="38" spans="1:14" x14ac:dyDescent="0.35">
      <c r="A38" t="s">
        <v>84</v>
      </c>
      <c r="B38" t="s">
        <v>85</v>
      </c>
      <c r="C38" t="s">
        <v>32</v>
      </c>
      <c r="D38">
        <v>23942.9</v>
      </c>
      <c r="E38">
        <v>23965</v>
      </c>
      <c r="F38">
        <v>23898.7</v>
      </c>
      <c r="G38">
        <v>23965</v>
      </c>
      <c r="H38" t="s">
        <v>16</v>
      </c>
      <c r="I38">
        <v>22.099999999998499</v>
      </c>
      <c r="J38">
        <v>44.199999999996997</v>
      </c>
      <c r="K38">
        <v>-22.099999999998499</v>
      </c>
      <c r="L38">
        <f>SUM($K$2:K38)</f>
        <v>216.25000000003138</v>
      </c>
      <c r="M38">
        <f>MAX($L$2:L38)</f>
        <v>378.00000000002746</v>
      </c>
      <c r="N38">
        <f t="shared" si="0"/>
        <v>161.74999999999608</v>
      </c>
    </row>
    <row r="39" spans="1:14" x14ac:dyDescent="0.35">
      <c r="A39" t="s">
        <v>86</v>
      </c>
      <c r="B39" t="s">
        <v>87</v>
      </c>
      <c r="C39" t="s">
        <v>32</v>
      </c>
      <c r="D39">
        <v>23942.9</v>
      </c>
      <c r="E39">
        <v>23966.3</v>
      </c>
      <c r="F39">
        <v>23896.1</v>
      </c>
      <c r="G39">
        <v>23966.3</v>
      </c>
      <c r="H39" t="s">
        <v>16</v>
      </c>
      <c r="I39">
        <v>23.399999999997799</v>
      </c>
      <c r="J39">
        <v>46.799999999995599</v>
      </c>
      <c r="K39">
        <v>-23.399999999997799</v>
      </c>
      <c r="L39">
        <f>SUM($K$2:K39)</f>
        <v>192.85000000003359</v>
      </c>
      <c r="M39">
        <f>MAX($L$2:L39)</f>
        <v>378.00000000002746</v>
      </c>
      <c r="N39">
        <f t="shared" si="0"/>
        <v>185.14999999999387</v>
      </c>
    </row>
    <row r="40" spans="1:14" x14ac:dyDescent="0.35">
      <c r="A40" t="s">
        <v>88</v>
      </c>
      <c r="B40" t="s">
        <v>89</v>
      </c>
      <c r="C40" t="s">
        <v>32</v>
      </c>
      <c r="D40">
        <v>23923.3</v>
      </c>
      <c r="E40">
        <v>23990.85</v>
      </c>
      <c r="F40">
        <v>23788.2</v>
      </c>
      <c r="G40">
        <v>23990.85</v>
      </c>
      <c r="H40" t="s">
        <v>16</v>
      </c>
      <c r="I40">
        <v>67.549999999999201</v>
      </c>
      <c r="J40">
        <v>135.099999999998</v>
      </c>
      <c r="K40">
        <v>-67.549999999999201</v>
      </c>
      <c r="L40">
        <f>SUM($K$2:K40)</f>
        <v>125.30000000003439</v>
      </c>
      <c r="M40">
        <f>MAX($L$2:L40)</f>
        <v>378.00000000002746</v>
      </c>
      <c r="N40">
        <f t="shared" si="0"/>
        <v>252.69999999999305</v>
      </c>
    </row>
    <row r="41" spans="1:14" x14ac:dyDescent="0.35">
      <c r="A41" t="s">
        <v>90</v>
      </c>
      <c r="B41" t="s">
        <v>91</v>
      </c>
      <c r="C41" t="s">
        <v>32</v>
      </c>
      <c r="D41">
        <v>23881.4</v>
      </c>
      <c r="E41">
        <v>23948.75</v>
      </c>
      <c r="F41">
        <v>23746.7</v>
      </c>
      <c r="G41">
        <v>23948.75</v>
      </c>
      <c r="H41" t="s">
        <v>16</v>
      </c>
      <c r="I41">
        <v>67.349999999998502</v>
      </c>
      <c r="J41">
        <v>134.699999999997</v>
      </c>
      <c r="K41">
        <v>-67.349999999998502</v>
      </c>
      <c r="L41">
        <f>SUM($K$2:K41)</f>
        <v>57.950000000035885</v>
      </c>
      <c r="M41">
        <f>MAX($L$2:L41)</f>
        <v>378.00000000002746</v>
      </c>
      <c r="N41">
        <f t="shared" si="0"/>
        <v>320.04999999999154</v>
      </c>
    </row>
    <row r="42" spans="1:14" x14ac:dyDescent="0.35">
      <c r="A42" t="s">
        <v>92</v>
      </c>
      <c r="B42" t="s">
        <v>93</v>
      </c>
      <c r="C42" t="s">
        <v>13</v>
      </c>
      <c r="D42">
        <v>23745.75</v>
      </c>
      <c r="E42">
        <v>23701.599999999999</v>
      </c>
      <c r="F42">
        <v>23834.05</v>
      </c>
      <c r="G42">
        <v>23834.05</v>
      </c>
      <c r="H42" t="s">
        <v>14</v>
      </c>
      <c r="I42">
        <v>44.150000000001398</v>
      </c>
      <c r="J42">
        <v>88.300000000002896</v>
      </c>
      <c r="K42">
        <v>88.300000000002896</v>
      </c>
      <c r="L42">
        <f>SUM($K$2:K42)</f>
        <v>146.25000000003877</v>
      </c>
      <c r="M42">
        <f>MAX($L$2:L42)</f>
        <v>378.00000000002746</v>
      </c>
      <c r="N42">
        <f t="shared" si="0"/>
        <v>231.74999999998869</v>
      </c>
    </row>
    <row r="43" spans="1:14" x14ac:dyDescent="0.35">
      <c r="A43" t="s">
        <v>94</v>
      </c>
      <c r="B43" t="s">
        <v>95</v>
      </c>
      <c r="C43" t="s">
        <v>32</v>
      </c>
      <c r="D43">
        <v>23679.45</v>
      </c>
      <c r="E43">
        <v>23722.65</v>
      </c>
      <c r="F43">
        <v>23593.05</v>
      </c>
      <c r="G43">
        <v>23722.65</v>
      </c>
      <c r="H43" t="s">
        <v>16</v>
      </c>
      <c r="I43">
        <v>43.200000000000699</v>
      </c>
      <c r="J43">
        <v>86.400000000001398</v>
      </c>
      <c r="K43">
        <v>-43.200000000000699</v>
      </c>
      <c r="L43">
        <f>SUM($K$2:K43)</f>
        <v>103.05000000003807</v>
      </c>
      <c r="M43">
        <f>MAX($L$2:L43)</f>
        <v>378.00000000002746</v>
      </c>
      <c r="N43">
        <f t="shared" si="0"/>
        <v>274.94999999998936</v>
      </c>
    </row>
    <row r="44" spans="1:14" x14ac:dyDescent="0.35">
      <c r="A44" t="s">
        <v>96</v>
      </c>
      <c r="B44" t="s">
        <v>97</v>
      </c>
      <c r="C44" t="s">
        <v>13</v>
      </c>
      <c r="D44">
        <v>23797.9</v>
      </c>
      <c r="E44">
        <v>23763.05</v>
      </c>
      <c r="F44">
        <v>23867.599999999999</v>
      </c>
      <c r="G44">
        <v>23867.599999999999</v>
      </c>
      <c r="H44" t="s">
        <v>14</v>
      </c>
      <c r="I44">
        <v>34.850000000002098</v>
      </c>
      <c r="J44">
        <v>69.700000000004295</v>
      </c>
      <c r="K44">
        <v>69.700000000004295</v>
      </c>
      <c r="L44">
        <f>SUM($K$2:K44)</f>
        <v>172.75000000004235</v>
      </c>
      <c r="M44">
        <f>MAX($L$2:L44)</f>
        <v>378.00000000002746</v>
      </c>
      <c r="N44">
        <f t="shared" si="0"/>
        <v>205.24999999998511</v>
      </c>
    </row>
    <row r="45" spans="1:14" x14ac:dyDescent="0.35">
      <c r="A45" t="s">
        <v>98</v>
      </c>
      <c r="B45" t="s">
        <v>99</v>
      </c>
      <c r="C45" t="s">
        <v>13</v>
      </c>
      <c r="D45">
        <v>23841.75</v>
      </c>
      <c r="E45">
        <v>23822.95</v>
      </c>
      <c r="F45">
        <v>23879.35</v>
      </c>
      <c r="G45">
        <v>23822.95</v>
      </c>
      <c r="H45" t="s">
        <v>16</v>
      </c>
      <c r="I45">
        <v>18.799999999999201</v>
      </c>
      <c r="J45">
        <v>37.599999999998502</v>
      </c>
      <c r="K45">
        <v>-18.799999999999201</v>
      </c>
      <c r="L45">
        <f>SUM($K$2:K45)</f>
        <v>153.95000000004313</v>
      </c>
      <c r="M45">
        <f>MAX($L$2:L45)</f>
        <v>378.00000000002746</v>
      </c>
      <c r="N45">
        <f t="shared" si="0"/>
        <v>224.04999999998432</v>
      </c>
    </row>
    <row r="46" spans="1:14" x14ac:dyDescent="0.35">
      <c r="A46" t="s">
        <v>100</v>
      </c>
      <c r="B46" t="s">
        <v>101</v>
      </c>
      <c r="C46" t="s">
        <v>32</v>
      </c>
      <c r="D46">
        <v>23780.95</v>
      </c>
      <c r="E46">
        <v>23799.200000000001</v>
      </c>
      <c r="F46">
        <v>23744.45</v>
      </c>
      <c r="G46">
        <v>23744.45</v>
      </c>
      <c r="H46" t="s">
        <v>14</v>
      </c>
      <c r="I46">
        <v>18.25</v>
      </c>
      <c r="J46">
        <v>36.5</v>
      </c>
      <c r="K46">
        <v>36.5</v>
      </c>
      <c r="L46">
        <f>SUM($K$2:K46)</f>
        <v>190.45000000004313</v>
      </c>
      <c r="M46">
        <f>MAX($L$2:L46)</f>
        <v>378.00000000002746</v>
      </c>
      <c r="N46">
        <f t="shared" si="0"/>
        <v>187.54999999998432</v>
      </c>
    </row>
    <row r="47" spans="1:14" x14ac:dyDescent="0.35">
      <c r="A47" t="s">
        <v>102</v>
      </c>
      <c r="B47" t="s">
        <v>103</v>
      </c>
      <c r="C47" t="s">
        <v>32</v>
      </c>
      <c r="D47">
        <v>23737.15</v>
      </c>
      <c r="E47">
        <v>23752.55</v>
      </c>
      <c r="F47">
        <v>23706.35</v>
      </c>
      <c r="G47">
        <v>23752.55</v>
      </c>
      <c r="H47" t="s">
        <v>16</v>
      </c>
      <c r="I47">
        <v>15.399999999997799</v>
      </c>
      <c r="J47">
        <v>30.799999999995599</v>
      </c>
      <c r="K47">
        <v>-15.399999999997799</v>
      </c>
      <c r="L47">
        <f>SUM($K$2:K47)</f>
        <v>175.05000000004534</v>
      </c>
      <c r="M47">
        <f>MAX($L$2:L47)</f>
        <v>378.00000000002746</v>
      </c>
      <c r="N47">
        <f t="shared" si="0"/>
        <v>202.94999999998211</v>
      </c>
    </row>
    <row r="48" spans="1:14" x14ac:dyDescent="0.35">
      <c r="A48" t="s">
        <v>104</v>
      </c>
      <c r="B48" t="s">
        <v>105</v>
      </c>
      <c r="C48" t="s">
        <v>32</v>
      </c>
      <c r="D48">
        <v>23731.5</v>
      </c>
      <c r="E48">
        <v>23757.45</v>
      </c>
      <c r="F48">
        <v>23679.599999999999</v>
      </c>
      <c r="G48">
        <v>23757.45</v>
      </c>
      <c r="H48" t="s">
        <v>16</v>
      </c>
      <c r="I48">
        <v>25.950000000000699</v>
      </c>
      <c r="J48">
        <v>51.900000000001398</v>
      </c>
      <c r="K48">
        <v>-25.950000000000699</v>
      </c>
      <c r="L48">
        <f>SUM($K$2:K48)</f>
        <v>149.10000000004464</v>
      </c>
      <c r="M48">
        <f>MAX($L$2:L48)</f>
        <v>378.00000000002746</v>
      </c>
      <c r="N48">
        <f t="shared" si="0"/>
        <v>228.89999999998281</v>
      </c>
    </row>
    <row r="49" spans="1:14" x14ac:dyDescent="0.35">
      <c r="A49" t="s">
        <v>106</v>
      </c>
      <c r="B49" t="s">
        <v>107</v>
      </c>
      <c r="C49" t="s">
        <v>32</v>
      </c>
      <c r="D49">
        <v>23692.45</v>
      </c>
      <c r="E49">
        <v>23757</v>
      </c>
      <c r="F49">
        <v>23563.35</v>
      </c>
      <c r="G49">
        <v>23757</v>
      </c>
      <c r="H49" t="s">
        <v>16</v>
      </c>
      <c r="I49">
        <v>64.549999999999201</v>
      </c>
      <c r="J49">
        <v>129.099999999998</v>
      </c>
      <c r="K49">
        <v>-64.549999999999201</v>
      </c>
      <c r="L49">
        <f>SUM($K$2:K49)</f>
        <v>84.550000000045443</v>
      </c>
      <c r="M49">
        <f>MAX($L$2:L49)</f>
        <v>378.00000000002746</v>
      </c>
      <c r="N49">
        <f t="shared" si="0"/>
        <v>293.44999999998203</v>
      </c>
    </row>
    <row r="50" spans="1:14" x14ac:dyDescent="0.35">
      <c r="A50" t="s">
        <v>108</v>
      </c>
      <c r="B50" t="s">
        <v>109</v>
      </c>
      <c r="C50" t="s">
        <v>32</v>
      </c>
      <c r="D50">
        <v>23854.75</v>
      </c>
      <c r="E50">
        <v>23874.2</v>
      </c>
      <c r="F50">
        <v>23815.85</v>
      </c>
      <c r="G50">
        <v>23815.85</v>
      </c>
      <c r="H50" t="s">
        <v>14</v>
      </c>
      <c r="I50">
        <v>19.450000000000699</v>
      </c>
      <c r="J50">
        <v>38.900000000001398</v>
      </c>
      <c r="K50">
        <v>38.900000000001398</v>
      </c>
      <c r="L50">
        <f>SUM($K$2:K50)</f>
        <v>123.45000000004684</v>
      </c>
      <c r="M50">
        <f>MAX($L$2:L50)</f>
        <v>378.00000000002746</v>
      </c>
      <c r="N50">
        <f t="shared" si="0"/>
        <v>254.54999999998063</v>
      </c>
    </row>
    <row r="51" spans="1:14" x14ac:dyDescent="0.35">
      <c r="A51" t="s">
        <v>109</v>
      </c>
      <c r="B51" t="s">
        <v>110</v>
      </c>
      <c r="C51" t="s">
        <v>32</v>
      </c>
      <c r="D51">
        <v>23812</v>
      </c>
      <c r="E51">
        <v>23830.6</v>
      </c>
      <c r="F51">
        <v>23774.799999999999</v>
      </c>
      <c r="G51">
        <v>23830.6</v>
      </c>
      <c r="H51" t="s">
        <v>16</v>
      </c>
      <c r="I51">
        <v>18.599999999998499</v>
      </c>
      <c r="J51">
        <v>37.199999999996997</v>
      </c>
      <c r="K51">
        <v>-18.599999999998499</v>
      </c>
      <c r="L51">
        <f>SUM($K$2:K51)</f>
        <v>104.85000000004834</v>
      </c>
      <c r="M51">
        <f>MAX($L$2:L51)</f>
        <v>378.00000000002746</v>
      </c>
      <c r="N51">
        <f t="shared" si="0"/>
        <v>273.14999999997912</v>
      </c>
    </row>
    <row r="52" spans="1:14" x14ac:dyDescent="0.35">
      <c r="A52" t="s">
        <v>111</v>
      </c>
      <c r="B52" t="s">
        <v>112</v>
      </c>
      <c r="C52" t="s">
        <v>32</v>
      </c>
      <c r="D52">
        <v>23776.55</v>
      </c>
      <c r="E52">
        <v>23807.5</v>
      </c>
      <c r="F52">
        <v>23714.6499999999</v>
      </c>
      <c r="G52">
        <v>23714.6499999999</v>
      </c>
      <c r="H52" t="s">
        <v>14</v>
      </c>
      <c r="I52">
        <v>30.950000000000699</v>
      </c>
      <c r="J52">
        <v>61.900000000001398</v>
      </c>
      <c r="K52">
        <v>61.900000000001398</v>
      </c>
      <c r="L52">
        <f>SUM($K$2:K52)</f>
        <v>166.75000000004974</v>
      </c>
      <c r="M52">
        <f>MAX($L$2:L52)</f>
        <v>378.00000000002746</v>
      </c>
      <c r="N52">
        <f t="shared" si="0"/>
        <v>211.24999999997772</v>
      </c>
    </row>
    <row r="53" spans="1:14" x14ac:dyDescent="0.35">
      <c r="A53" t="s">
        <v>113</v>
      </c>
      <c r="B53" t="s">
        <v>114</v>
      </c>
      <c r="C53" t="s">
        <v>32</v>
      </c>
      <c r="D53">
        <v>23760.7</v>
      </c>
      <c r="E53">
        <v>23783.45</v>
      </c>
      <c r="F53">
        <v>23715.200000000001</v>
      </c>
      <c r="G53">
        <v>23715.200000000001</v>
      </c>
      <c r="H53" t="s">
        <v>14</v>
      </c>
      <c r="I53">
        <v>22.75</v>
      </c>
      <c r="J53">
        <v>45.5</v>
      </c>
      <c r="K53">
        <v>45.5</v>
      </c>
      <c r="L53">
        <f>SUM($K$2:K53)</f>
        <v>212.25000000004974</v>
      </c>
      <c r="M53">
        <f>MAX($L$2:L53)</f>
        <v>378.00000000002746</v>
      </c>
      <c r="N53">
        <f t="shared" si="0"/>
        <v>165.74999999997772</v>
      </c>
    </row>
    <row r="54" spans="1:14" x14ac:dyDescent="0.35">
      <c r="A54" t="s">
        <v>115</v>
      </c>
      <c r="B54" t="s">
        <v>116</v>
      </c>
      <c r="C54" t="s">
        <v>32</v>
      </c>
      <c r="D54">
        <v>23523.4</v>
      </c>
      <c r="E54">
        <v>23584.5</v>
      </c>
      <c r="F54">
        <v>23401.200000000001</v>
      </c>
      <c r="G54">
        <v>23584.5</v>
      </c>
      <c r="H54" t="s">
        <v>16</v>
      </c>
      <c r="I54">
        <v>61.099999999998502</v>
      </c>
      <c r="J54">
        <v>122.199999999997</v>
      </c>
      <c r="K54">
        <v>-61.099999999998502</v>
      </c>
      <c r="L54">
        <f>SUM($K$2:K54)</f>
        <v>151.15000000005125</v>
      </c>
      <c r="M54">
        <f>MAX($L$2:L54)</f>
        <v>378.00000000002746</v>
      </c>
      <c r="N54">
        <f t="shared" si="0"/>
        <v>226.84999999997621</v>
      </c>
    </row>
    <row r="55" spans="1:14" x14ac:dyDescent="0.35">
      <c r="A55" t="s">
        <v>117</v>
      </c>
      <c r="B55" t="s">
        <v>118</v>
      </c>
      <c r="C55" t="s">
        <v>13</v>
      </c>
      <c r="D55">
        <v>23612.95</v>
      </c>
      <c r="E55">
        <v>23585.7</v>
      </c>
      <c r="F55">
        <v>23667.45</v>
      </c>
      <c r="G55">
        <v>23585.7</v>
      </c>
      <c r="H55" t="s">
        <v>16</v>
      </c>
      <c r="I55">
        <v>27.25</v>
      </c>
      <c r="J55">
        <v>54.5</v>
      </c>
      <c r="K55">
        <v>-27.25</v>
      </c>
      <c r="L55">
        <f>SUM($K$2:K55)</f>
        <v>123.90000000005125</v>
      </c>
      <c r="M55">
        <f>MAX($L$2:L55)</f>
        <v>378.00000000002746</v>
      </c>
      <c r="N55">
        <f t="shared" si="0"/>
        <v>254.09999999997621</v>
      </c>
    </row>
    <row r="56" spans="1:14" x14ac:dyDescent="0.35">
      <c r="A56" t="s">
        <v>119</v>
      </c>
      <c r="B56" t="s">
        <v>120</v>
      </c>
      <c r="C56" t="s">
        <v>13</v>
      </c>
      <c r="D56">
        <v>23675.65</v>
      </c>
      <c r="E56">
        <v>23607.05</v>
      </c>
      <c r="F56">
        <v>23812.85</v>
      </c>
      <c r="G56">
        <v>23607.05</v>
      </c>
      <c r="H56" t="s">
        <v>16</v>
      </c>
      <c r="I56">
        <v>68.600000000002098</v>
      </c>
      <c r="J56">
        <v>137.200000000004</v>
      </c>
      <c r="K56">
        <v>-68.600000000002098</v>
      </c>
      <c r="L56">
        <f>SUM($K$2:K56)</f>
        <v>55.300000000049153</v>
      </c>
      <c r="M56">
        <f>MAX($L$2:L56)</f>
        <v>378.00000000002746</v>
      </c>
      <c r="N56">
        <f t="shared" si="0"/>
        <v>322.69999999997833</v>
      </c>
    </row>
    <row r="57" spans="1:14" x14ac:dyDescent="0.35">
      <c r="A57" t="s">
        <v>120</v>
      </c>
      <c r="B57" t="s">
        <v>121</v>
      </c>
      <c r="C57" t="s">
        <v>32</v>
      </c>
      <c r="D57">
        <v>23610.6</v>
      </c>
      <c r="E57">
        <v>23632.5</v>
      </c>
      <c r="F57">
        <v>23566.799999999901</v>
      </c>
      <c r="G57">
        <v>23566.799999999901</v>
      </c>
      <c r="H57" t="s">
        <v>14</v>
      </c>
      <c r="I57">
        <v>21.900000000001398</v>
      </c>
      <c r="J57">
        <v>43.800000000002903</v>
      </c>
      <c r="K57">
        <v>43.800000000002903</v>
      </c>
      <c r="L57">
        <f>SUM($K$2:K57)</f>
        <v>99.100000000052063</v>
      </c>
      <c r="M57">
        <f>MAX($L$2:L57)</f>
        <v>378.00000000002746</v>
      </c>
      <c r="N57">
        <f t="shared" si="0"/>
        <v>278.89999999997542</v>
      </c>
    </row>
    <row r="58" spans="1:14" x14ac:dyDescent="0.35">
      <c r="A58" t="s">
        <v>122</v>
      </c>
      <c r="B58" t="s">
        <v>123</v>
      </c>
      <c r="C58" t="s">
        <v>32</v>
      </c>
      <c r="D58">
        <v>23578.799999999999</v>
      </c>
      <c r="E58">
        <v>23606.65</v>
      </c>
      <c r="F58">
        <v>23523.0999999999</v>
      </c>
      <c r="G58">
        <v>23606.65</v>
      </c>
      <c r="H58" t="s">
        <v>16</v>
      </c>
      <c r="I58">
        <v>27.850000000002101</v>
      </c>
      <c r="J58">
        <v>55.700000000004302</v>
      </c>
      <c r="K58">
        <v>-27.850000000002101</v>
      </c>
      <c r="L58">
        <f>SUM($K$2:K58)</f>
        <v>71.250000000049965</v>
      </c>
      <c r="M58">
        <f>MAX($L$2:L58)</f>
        <v>378.00000000002746</v>
      </c>
      <c r="N58">
        <f t="shared" si="0"/>
        <v>306.74999999997749</v>
      </c>
    </row>
    <row r="59" spans="1:14" x14ac:dyDescent="0.35">
      <c r="A59" t="s">
        <v>124</v>
      </c>
      <c r="B59" t="s">
        <v>125</v>
      </c>
      <c r="C59" t="s">
        <v>13</v>
      </c>
      <c r="D59">
        <v>23784.25</v>
      </c>
      <c r="E59">
        <v>23751.55</v>
      </c>
      <c r="F59">
        <v>23849.65</v>
      </c>
      <c r="G59">
        <v>23849.65</v>
      </c>
      <c r="H59" t="s">
        <v>14</v>
      </c>
      <c r="I59">
        <v>32.700000000000699</v>
      </c>
      <c r="J59">
        <v>65.400000000001398</v>
      </c>
      <c r="K59">
        <v>65.400000000001398</v>
      </c>
      <c r="L59">
        <f>SUM($K$2:K59)</f>
        <v>136.65000000005136</v>
      </c>
      <c r="M59">
        <f>MAX($L$2:L59)</f>
        <v>378.00000000002746</v>
      </c>
      <c r="N59">
        <f t="shared" si="0"/>
        <v>241.34999999997609</v>
      </c>
    </row>
    <row r="60" spans="1:14" x14ac:dyDescent="0.35">
      <c r="A60" t="s">
        <v>126</v>
      </c>
      <c r="B60" t="s">
        <v>127</v>
      </c>
      <c r="C60" t="s">
        <v>13</v>
      </c>
      <c r="D60">
        <v>23937.4</v>
      </c>
      <c r="E60">
        <v>23916.25</v>
      </c>
      <c r="F60">
        <v>23979.7</v>
      </c>
      <c r="G60">
        <v>23979.7</v>
      </c>
      <c r="H60" t="s">
        <v>14</v>
      </c>
      <c r="I60">
        <v>21.150000000001398</v>
      </c>
      <c r="J60">
        <v>42.300000000002903</v>
      </c>
      <c r="K60">
        <v>42.300000000002903</v>
      </c>
      <c r="L60">
        <f>SUM($K$2:K60)</f>
        <v>178.95000000005427</v>
      </c>
      <c r="M60">
        <f>MAX($L$2:L60)</f>
        <v>378.00000000002746</v>
      </c>
      <c r="N60">
        <f t="shared" si="0"/>
        <v>199.04999999997318</v>
      </c>
    </row>
    <row r="61" spans="1:14" x14ac:dyDescent="0.35">
      <c r="A61" t="s">
        <v>127</v>
      </c>
      <c r="B61" t="s">
        <v>128</v>
      </c>
      <c r="C61" t="s">
        <v>13</v>
      </c>
      <c r="D61">
        <v>24015.599999999999</v>
      </c>
      <c r="E61">
        <v>23959.55</v>
      </c>
      <c r="F61">
        <v>24127.699999999899</v>
      </c>
      <c r="G61">
        <v>24127.699999999899</v>
      </c>
      <c r="H61" t="s">
        <v>14</v>
      </c>
      <c r="I61">
        <v>56.049999999999201</v>
      </c>
      <c r="J61">
        <v>112.099999999998</v>
      </c>
      <c r="K61">
        <v>112.099999999998</v>
      </c>
      <c r="L61">
        <f>SUM($K$2:K61)</f>
        <v>291.05000000005225</v>
      </c>
      <c r="M61">
        <f>MAX($L$2:L61)</f>
        <v>378.00000000002746</v>
      </c>
      <c r="N61">
        <f t="shared" si="0"/>
        <v>86.949999999975205</v>
      </c>
    </row>
    <row r="62" spans="1:14" x14ac:dyDescent="0.35">
      <c r="A62" t="s">
        <v>129</v>
      </c>
      <c r="B62" t="s">
        <v>130</v>
      </c>
      <c r="C62" t="s">
        <v>13</v>
      </c>
      <c r="D62">
        <v>24145.1</v>
      </c>
      <c r="E62">
        <v>24120.3</v>
      </c>
      <c r="F62">
        <v>24194.699999999899</v>
      </c>
      <c r="G62">
        <v>24194.699999999899</v>
      </c>
      <c r="H62" t="s">
        <v>14</v>
      </c>
      <c r="I62">
        <v>24.799999999999201</v>
      </c>
      <c r="J62">
        <v>49.599999999998502</v>
      </c>
      <c r="K62">
        <v>49.599999999998502</v>
      </c>
      <c r="L62">
        <f>SUM($K$2:K62)</f>
        <v>340.65000000005074</v>
      </c>
      <c r="M62">
        <f>MAX($L$2:L62)</f>
        <v>378.00000000002746</v>
      </c>
      <c r="N62">
        <f t="shared" si="0"/>
        <v>37.349999999976717</v>
      </c>
    </row>
    <row r="63" spans="1:14" x14ac:dyDescent="0.35">
      <c r="A63" t="s">
        <v>131</v>
      </c>
      <c r="B63" t="s">
        <v>132</v>
      </c>
      <c r="C63" t="s">
        <v>32</v>
      </c>
      <c r="D63">
        <v>24063.1</v>
      </c>
      <c r="E63">
        <v>24111.35</v>
      </c>
      <c r="F63">
        <v>23966.6</v>
      </c>
      <c r="G63">
        <v>24111.35</v>
      </c>
      <c r="H63" t="s">
        <v>16</v>
      </c>
      <c r="I63">
        <v>48.25</v>
      </c>
      <c r="J63">
        <v>96.5</v>
      </c>
      <c r="K63">
        <v>-48.25</v>
      </c>
      <c r="L63">
        <f>SUM($K$2:K63)</f>
        <v>292.40000000005074</v>
      </c>
      <c r="M63">
        <f>MAX($L$2:L63)</f>
        <v>378.00000000002746</v>
      </c>
      <c r="N63">
        <f t="shared" si="0"/>
        <v>85.599999999976717</v>
      </c>
    </row>
    <row r="64" spans="1:14" x14ac:dyDescent="0.35">
      <c r="A64" t="s">
        <v>133</v>
      </c>
      <c r="B64" t="s">
        <v>134</v>
      </c>
      <c r="C64" t="s">
        <v>13</v>
      </c>
      <c r="D64">
        <v>24114.400000000001</v>
      </c>
      <c r="E64">
        <v>24093.8</v>
      </c>
      <c r="F64">
        <v>24155.599999999999</v>
      </c>
      <c r="G64">
        <v>24093.8</v>
      </c>
      <c r="H64" t="s">
        <v>16</v>
      </c>
      <c r="I64">
        <v>20.600000000002101</v>
      </c>
      <c r="J64">
        <v>41.200000000004302</v>
      </c>
      <c r="K64">
        <v>-20.600000000002101</v>
      </c>
      <c r="L64">
        <f>SUM($K$2:K64)</f>
        <v>271.80000000004861</v>
      </c>
      <c r="M64">
        <f>MAX($L$2:L64)</f>
        <v>378.00000000002746</v>
      </c>
      <c r="N64">
        <f t="shared" si="0"/>
        <v>106.19999999997884</v>
      </c>
    </row>
    <row r="65" spans="1:14" x14ac:dyDescent="0.35">
      <c r="A65" t="s">
        <v>135</v>
      </c>
      <c r="B65" t="s">
        <v>136</v>
      </c>
      <c r="C65" t="s">
        <v>32</v>
      </c>
      <c r="D65">
        <v>23691.05</v>
      </c>
      <c r="E65">
        <v>23731</v>
      </c>
      <c r="F65">
        <v>23611.1499999999</v>
      </c>
      <c r="G65">
        <v>23731</v>
      </c>
      <c r="H65" t="s">
        <v>16</v>
      </c>
      <c r="I65">
        <v>39.950000000000699</v>
      </c>
      <c r="J65">
        <v>79.900000000001398</v>
      </c>
      <c r="K65">
        <v>-39.950000000000699</v>
      </c>
      <c r="L65">
        <f>SUM($K$2:K65)</f>
        <v>231.85000000004791</v>
      </c>
      <c r="M65">
        <f>MAX($L$2:L65)</f>
        <v>378.00000000002746</v>
      </c>
      <c r="N65">
        <f t="shared" si="0"/>
        <v>146.14999999997954</v>
      </c>
    </row>
    <row r="66" spans="1:14" x14ac:dyDescent="0.35">
      <c r="A66" t="s">
        <v>137</v>
      </c>
      <c r="B66" t="s">
        <v>138</v>
      </c>
      <c r="C66" t="s">
        <v>32</v>
      </c>
      <c r="D66">
        <v>23638.85</v>
      </c>
      <c r="E66">
        <v>23660.2</v>
      </c>
      <c r="F66">
        <v>23596.1499999999</v>
      </c>
      <c r="G66">
        <v>23596.1499999999</v>
      </c>
      <c r="H66" t="s">
        <v>14</v>
      </c>
      <c r="I66">
        <v>21.350000000002101</v>
      </c>
      <c r="J66">
        <v>42.700000000004302</v>
      </c>
      <c r="K66">
        <v>42.700000000004302</v>
      </c>
      <c r="L66">
        <f>SUM($K$2:K66)</f>
        <v>274.55000000005219</v>
      </c>
      <c r="M66">
        <f>MAX($L$2:L66)</f>
        <v>378.00000000002746</v>
      </c>
      <c r="N66">
        <f t="shared" ref="N66:N129" si="1">M66-L66</f>
        <v>103.44999999997526</v>
      </c>
    </row>
    <row r="67" spans="1:14" x14ac:dyDescent="0.35">
      <c r="A67" t="s">
        <v>139</v>
      </c>
      <c r="B67" t="s">
        <v>140</v>
      </c>
      <c r="C67" t="s">
        <v>13</v>
      </c>
      <c r="D67">
        <v>23742.45</v>
      </c>
      <c r="E67">
        <v>23723.55</v>
      </c>
      <c r="F67">
        <v>23780.25</v>
      </c>
      <c r="G67">
        <v>23723.55</v>
      </c>
      <c r="H67" t="s">
        <v>16</v>
      </c>
      <c r="I67">
        <v>18.900000000001398</v>
      </c>
      <c r="J67">
        <v>37.800000000002903</v>
      </c>
      <c r="K67">
        <v>-18.900000000001398</v>
      </c>
      <c r="L67">
        <f>SUM($K$2:K67)</f>
        <v>255.6500000000508</v>
      </c>
      <c r="M67">
        <f>MAX($L$2:L67)</f>
        <v>378.00000000002746</v>
      </c>
      <c r="N67">
        <f t="shared" si="1"/>
        <v>122.34999999997666</v>
      </c>
    </row>
    <row r="68" spans="1:14" x14ac:dyDescent="0.35">
      <c r="A68" t="s">
        <v>141</v>
      </c>
      <c r="B68" t="s">
        <v>142</v>
      </c>
      <c r="C68" t="s">
        <v>13</v>
      </c>
      <c r="D68">
        <v>23724.85</v>
      </c>
      <c r="E68">
        <v>23708.7</v>
      </c>
      <c r="F68">
        <v>23757.1499999999</v>
      </c>
      <c r="G68">
        <v>23757.1499999999</v>
      </c>
      <c r="H68" t="s">
        <v>14</v>
      </c>
      <c r="I68">
        <v>16.149999999997799</v>
      </c>
      <c r="J68">
        <v>32.299999999995599</v>
      </c>
      <c r="K68">
        <v>32.299999999995599</v>
      </c>
      <c r="L68">
        <f>SUM($K$2:K68)</f>
        <v>287.95000000004637</v>
      </c>
      <c r="M68">
        <f>MAX($L$2:L68)</f>
        <v>378.00000000002746</v>
      </c>
      <c r="N68">
        <f t="shared" si="1"/>
        <v>90.049999999981083</v>
      </c>
    </row>
    <row r="69" spans="1:14" x14ac:dyDescent="0.35">
      <c r="A69" t="s">
        <v>142</v>
      </c>
      <c r="B69" t="s">
        <v>143</v>
      </c>
      <c r="C69" t="s">
        <v>13</v>
      </c>
      <c r="D69">
        <v>23760.35</v>
      </c>
      <c r="E69">
        <v>23740.55</v>
      </c>
      <c r="F69">
        <v>23799.949999999899</v>
      </c>
      <c r="G69">
        <v>23740.55</v>
      </c>
      <c r="H69" t="s">
        <v>16</v>
      </c>
      <c r="I69">
        <v>19.799999999999201</v>
      </c>
      <c r="J69">
        <v>39.599999999998502</v>
      </c>
      <c r="K69">
        <v>-19.799999999999201</v>
      </c>
      <c r="L69">
        <f>SUM($K$2:K69)</f>
        <v>268.15000000004716</v>
      </c>
      <c r="M69">
        <f>MAX($L$2:L69)</f>
        <v>378.00000000002746</v>
      </c>
      <c r="N69">
        <f t="shared" si="1"/>
        <v>109.8499999999803</v>
      </c>
    </row>
    <row r="70" spans="1:14" x14ac:dyDescent="0.35">
      <c r="A70" t="s">
        <v>144</v>
      </c>
      <c r="B70" t="s">
        <v>145</v>
      </c>
      <c r="C70" t="s">
        <v>32</v>
      </c>
      <c r="D70">
        <v>23680.1</v>
      </c>
      <c r="E70">
        <v>23751.85</v>
      </c>
      <c r="F70">
        <v>23536.6</v>
      </c>
      <c r="G70">
        <v>23536.6</v>
      </c>
      <c r="H70" t="s">
        <v>14</v>
      </c>
      <c r="I70">
        <v>71.75</v>
      </c>
      <c r="J70">
        <v>143.5</v>
      </c>
      <c r="K70">
        <v>143.5</v>
      </c>
      <c r="L70">
        <f>SUM($K$2:K70)</f>
        <v>411.65000000004716</v>
      </c>
      <c r="M70">
        <f>MAX($L$2:L70)</f>
        <v>411.65000000004716</v>
      </c>
      <c r="N70">
        <f t="shared" si="1"/>
        <v>0</v>
      </c>
    </row>
    <row r="71" spans="1:14" x14ac:dyDescent="0.35">
      <c r="A71" t="s">
        <v>145</v>
      </c>
      <c r="B71" t="s">
        <v>146</v>
      </c>
      <c r="C71" t="s">
        <v>32</v>
      </c>
      <c r="D71">
        <v>23546.799999999999</v>
      </c>
      <c r="E71">
        <v>23575.55</v>
      </c>
      <c r="F71">
        <v>23489.3</v>
      </c>
      <c r="G71">
        <v>23575.55</v>
      </c>
      <c r="H71" t="s">
        <v>16</v>
      </c>
      <c r="I71">
        <v>28.75</v>
      </c>
      <c r="J71">
        <v>57.5</v>
      </c>
      <c r="K71">
        <v>-28.75</v>
      </c>
      <c r="L71">
        <f>SUM($K$2:K71)</f>
        <v>382.90000000004716</v>
      </c>
      <c r="M71">
        <f>MAX($L$2:L71)</f>
        <v>411.65000000004716</v>
      </c>
      <c r="N71">
        <f t="shared" si="1"/>
        <v>28.75</v>
      </c>
    </row>
    <row r="72" spans="1:14" x14ac:dyDescent="0.35">
      <c r="A72" t="s">
        <v>147</v>
      </c>
      <c r="B72" t="s">
        <v>148</v>
      </c>
      <c r="C72" t="s">
        <v>32</v>
      </c>
      <c r="D72">
        <v>23579.55</v>
      </c>
      <c r="E72">
        <v>23603.7</v>
      </c>
      <c r="F72">
        <v>23531.249999999902</v>
      </c>
      <c r="G72">
        <v>23531.249999999902</v>
      </c>
      <c r="H72" t="s">
        <v>14</v>
      </c>
      <c r="I72">
        <v>24.150000000001398</v>
      </c>
      <c r="J72">
        <v>48.300000000002903</v>
      </c>
      <c r="K72">
        <v>48.300000000002903</v>
      </c>
      <c r="L72">
        <f>SUM($K$2:K72)</f>
        <v>431.20000000005007</v>
      </c>
      <c r="M72">
        <f>MAX($L$2:L72)</f>
        <v>431.20000000005007</v>
      </c>
      <c r="N72">
        <f t="shared" si="1"/>
        <v>0</v>
      </c>
    </row>
    <row r="73" spans="1:14" x14ac:dyDescent="0.35">
      <c r="A73" t="s">
        <v>148</v>
      </c>
      <c r="B73" t="s">
        <v>149</v>
      </c>
      <c r="C73" t="s">
        <v>32</v>
      </c>
      <c r="D73">
        <v>23525.45</v>
      </c>
      <c r="E73">
        <v>23551.55</v>
      </c>
      <c r="F73">
        <v>23473.25</v>
      </c>
      <c r="G73">
        <v>23551.55</v>
      </c>
      <c r="H73" t="s">
        <v>16</v>
      </c>
      <c r="I73">
        <v>26.099999999998499</v>
      </c>
      <c r="J73">
        <v>52.199999999996997</v>
      </c>
      <c r="K73">
        <v>-26.099999999998499</v>
      </c>
      <c r="L73">
        <f>SUM($K$2:K73)</f>
        <v>405.10000000005158</v>
      </c>
      <c r="M73">
        <f>MAX($L$2:L73)</f>
        <v>431.20000000005007</v>
      </c>
      <c r="N73">
        <f t="shared" si="1"/>
        <v>26.099999999998488</v>
      </c>
    </row>
    <row r="74" spans="1:14" x14ac:dyDescent="0.35">
      <c r="A74" t="s">
        <v>150</v>
      </c>
      <c r="B74" t="s">
        <v>151</v>
      </c>
      <c r="C74" t="s">
        <v>32</v>
      </c>
      <c r="D74">
        <v>23608.3</v>
      </c>
      <c r="E74">
        <v>23635.05</v>
      </c>
      <c r="F74">
        <v>23554.799999999999</v>
      </c>
      <c r="G74">
        <v>23635.05</v>
      </c>
      <c r="H74" t="s">
        <v>16</v>
      </c>
      <c r="I74">
        <v>26.75</v>
      </c>
      <c r="J74">
        <v>53.5</v>
      </c>
      <c r="K74">
        <v>-26.75</v>
      </c>
      <c r="L74">
        <f>SUM($K$2:K74)</f>
        <v>378.35000000005158</v>
      </c>
      <c r="M74">
        <f>MAX($L$2:L74)</f>
        <v>431.20000000005007</v>
      </c>
      <c r="N74">
        <f t="shared" si="1"/>
        <v>52.849999999998488</v>
      </c>
    </row>
    <row r="75" spans="1:14" x14ac:dyDescent="0.35">
      <c r="A75" t="s">
        <v>152</v>
      </c>
      <c r="B75" t="s">
        <v>153</v>
      </c>
      <c r="C75" t="s">
        <v>32</v>
      </c>
      <c r="D75">
        <v>23554.400000000001</v>
      </c>
      <c r="E75">
        <v>23621.5</v>
      </c>
      <c r="F75">
        <v>23420.2</v>
      </c>
      <c r="G75">
        <v>23557.200000000001</v>
      </c>
      <c r="H75" t="s">
        <v>23</v>
      </c>
      <c r="I75">
        <v>67.099999999998502</v>
      </c>
      <c r="J75">
        <v>134.199999999997</v>
      </c>
      <c r="K75">
        <v>-2.7999999999992702</v>
      </c>
      <c r="L75">
        <f>SUM($K$2:K75)</f>
        <v>375.55000000005231</v>
      </c>
      <c r="M75">
        <f>MAX($L$2:L75)</f>
        <v>431.20000000005007</v>
      </c>
      <c r="N75">
        <f t="shared" si="1"/>
        <v>55.64999999999776</v>
      </c>
    </row>
    <row r="76" spans="1:14" x14ac:dyDescent="0.35">
      <c r="A76" t="s">
        <v>154</v>
      </c>
      <c r="B76" t="s">
        <v>155</v>
      </c>
      <c r="C76" t="s">
        <v>13</v>
      </c>
      <c r="D76">
        <v>23529.05</v>
      </c>
      <c r="E76">
        <v>23500.7</v>
      </c>
      <c r="F76">
        <v>23585.749999999902</v>
      </c>
      <c r="G76">
        <v>23500.7</v>
      </c>
      <c r="H76" t="s">
        <v>16</v>
      </c>
      <c r="I76">
        <v>28.349999999998499</v>
      </c>
      <c r="J76">
        <v>56.699999999996997</v>
      </c>
      <c r="K76">
        <v>-28.349999999998499</v>
      </c>
      <c r="L76">
        <f>SUM($K$2:K76)</f>
        <v>347.20000000005382</v>
      </c>
      <c r="M76">
        <f>MAX($L$2:L76)</f>
        <v>431.20000000005007</v>
      </c>
      <c r="N76">
        <f t="shared" si="1"/>
        <v>83.999999999996248</v>
      </c>
    </row>
    <row r="77" spans="1:14" x14ac:dyDescent="0.35">
      <c r="A77" t="s">
        <v>155</v>
      </c>
      <c r="B77" t="s">
        <v>156</v>
      </c>
      <c r="C77" t="s">
        <v>13</v>
      </c>
      <c r="D77">
        <v>23523.4</v>
      </c>
      <c r="E77">
        <v>23477.75</v>
      </c>
      <c r="F77">
        <v>23614.7</v>
      </c>
      <c r="G77">
        <v>23477.75</v>
      </c>
      <c r="H77" t="s">
        <v>16</v>
      </c>
      <c r="I77">
        <v>45.650000000001398</v>
      </c>
      <c r="J77">
        <v>91.300000000002896</v>
      </c>
      <c r="K77">
        <v>-45.650000000001398</v>
      </c>
      <c r="L77">
        <f>SUM($K$2:K77)</f>
        <v>301.55000000005242</v>
      </c>
      <c r="M77">
        <f>MAX($L$2:L77)</f>
        <v>431.20000000005007</v>
      </c>
      <c r="N77">
        <f t="shared" si="1"/>
        <v>129.64999999999765</v>
      </c>
    </row>
    <row r="78" spans="1:14" x14ac:dyDescent="0.35">
      <c r="A78" t="s">
        <v>157</v>
      </c>
      <c r="B78" t="s">
        <v>158</v>
      </c>
      <c r="C78" t="s">
        <v>32</v>
      </c>
      <c r="D78">
        <v>23266.9</v>
      </c>
      <c r="E78">
        <v>23298.05</v>
      </c>
      <c r="F78">
        <v>23204.6</v>
      </c>
      <c r="G78">
        <v>23298.05</v>
      </c>
      <c r="H78" t="s">
        <v>16</v>
      </c>
      <c r="I78">
        <v>31.149999999997799</v>
      </c>
      <c r="J78">
        <v>62.299999999995599</v>
      </c>
      <c r="K78">
        <v>-31.149999999997799</v>
      </c>
      <c r="L78">
        <f>SUM($K$2:K78)</f>
        <v>270.4000000000546</v>
      </c>
      <c r="M78">
        <f>MAX($L$2:L78)</f>
        <v>431.20000000005007</v>
      </c>
      <c r="N78">
        <f t="shared" si="1"/>
        <v>160.79999999999546</v>
      </c>
    </row>
    <row r="79" spans="1:14" x14ac:dyDescent="0.35">
      <c r="A79" t="s">
        <v>159</v>
      </c>
      <c r="B79" t="s">
        <v>160</v>
      </c>
      <c r="C79" t="s">
        <v>32</v>
      </c>
      <c r="D79">
        <v>23272.55</v>
      </c>
      <c r="E79">
        <v>23298.6</v>
      </c>
      <c r="F79">
        <v>23220.45</v>
      </c>
      <c r="G79">
        <v>23220.45</v>
      </c>
      <c r="H79" t="s">
        <v>14</v>
      </c>
      <c r="I79">
        <v>26.049999999999201</v>
      </c>
      <c r="J79">
        <v>52.099999999998502</v>
      </c>
      <c r="K79">
        <v>52.099999999998502</v>
      </c>
      <c r="L79">
        <f>SUM($K$2:K79)</f>
        <v>322.50000000005309</v>
      </c>
      <c r="M79">
        <f>MAX($L$2:L79)</f>
        <v>431.20000000005007</v>
      </c>
      <c r="N79">
        <f t="shared" si="1"/>
        <v>108.69999999999698</v>
      </c>
    </row>
    <row r="80" spans="1:14" x14ac:dyDescent="0.35">
      <c r="A80" t="s">
        <v>161</v>
      </c>
      <c r="B80" t="s">
        <v>162</v>
      </c>
      <c r="C80" t="s">
        <v>32</v>
      </c>
      <c r="D80">
        <v>23179.65</v>
      </c>
      <c r="E80">
        <v>23217.85</v>
      </c>
      <c r="F80">
        <v>23103.25</v>
      </c>
      <c r="G80">
        <v>23103.25</v>
      </c>
      <c r="H80" t="s">
        <v>14</v>
      </c>
      <c r="I80">
        <v>38.199999999996997</v>
      </c>
      <c r="J80">
        <v>76.399999999994094</v>
      </c>
      <c r="K80">
        <v>76.399999999994094</v>
      </c>
      <c r="L80">
        <f>SUM($K$2:K80)</f>
        <v>398.90000000004716</v>
      </c>
      <c r="M80">
        <f>MAX($L$2:L80)</f>
        <v>431.20000000005007</v>
      </c>
      <c r="N80">
        <f t="shared" si="1"/>
        <v>32.30000000000291</v>
      </c>
    </row>
    <row r="81" spans="1:14" x14ac:dyDescent="0.35">
      <c r="A81" t="s">
        <v>163</v>
      </c>
      <c r="B81" t="s">
        <v>164</v>
      </c>
      <c r="C81" t="s">
        <v>32</v>
      </c>
      <c r="D81">
        <v>23110.95</v>
      </c>
      <c r="E81">
        <v>23127.15</v>
      </c>
      <c r="F81">
        <v>23078.55</v>
      </c>
      <c r="G81">
        <v>23078.55</v>
      </c>
      <c r="H81" t="s">
        <v>14</v>
      </c>
      <c r="I81">
        <v>16.200000000000699</v>
      </c>
      <c r="J81">
        <v>32.400000000001398</v>
      </c>
      <c r="K81">
        <v>32.400000000001398</v>
      </c>
      <c r="L81">
        <f>SUM($K$2:K81)</f>
        <v>431.30000000004856</v>
      </c>
      <c r="M81">
        <f>MAX($L$2:L81)</f>
        <v>431.30000000004856</v>
      </c>
      <c r="N81">
        <f t="shared" si="1"/>
        <v>0</v>
      </c>
    </row>
    <row r="82" spans="1:14" x14ac:dyDescent="0.35">
      <c r="A82" t="s">
        <v>164</v>
      </c>
      <c r="B82" t="s">
        <v>165</v>
      </c>
      <c r="C82" t="s">
        <v>32</v>
      </c>
      <c r="D82">
        <v>23070.45</v>
      </c>
      <c r="E82">
        <v>23115.65</v>
      </c>
      <c r="F82">
        <v>22980.05</v>
      </c>
      <c r="G82">
        <v>23115.65</v>
      </c>
      <c r="H82" t="s">
        <v>16</v>
      </c>
      <c r="I82">
        <v>45.200000000000699</v>
      </c>
      <c r="J82">
        <v>90.400000000001398</v>
      </c>
      <c r="K82">
        <v>-45.200000000000699</v>
      </c>
      <c r="L82">
        <f>SUM($K$2:K82)</f>
        <v>386.10000000004788</v>
      </c>
      <c r="M82">
        <f>MAX($L$2:L82)</f>
        <v>431.30000000004856</v>
      </c>
      <c r="N82">
        <f t="shared" si="1"/>
        <v>45.200000000000671</v>
      </c>
    </row>
    <row r="83" spans="1:14" x14ac:dyDescent="0.35">
      <c r="A83" t="s">
        <v>166</v>
      </c>
      <c r="B83" t="s">
        <v>167</v>
      </c>
      <c r="C83" t="s">
        <v>13</v>
      </c>
      <c r="D83">
        <v>23198.35</v>
      </c>
      <c r="E83">
        <v>23164.15</v>
      </c>
      <c r="F83">
        <v>23266.749999999902</v>
      </c>
      <c r="G83">
        <v>23164.15</v>
      </c>
      <c r="H83" t="s">
        <v>16</v>
      </c>
      <c r="I83">
        <v>34.199999999996997</v>
      </c>
      <c r="J83">
        <v>68.399999999994094</v>
      </c>
      <c r="K83">
        <v>-34.199999999996997</v>
      </c>
      <c r="L83">
        <f>SUM($K$2:K83)</f>
        <v>351.90000000005091</v>
      </c>
      <c r="M83">
        <f>MAX($L$2:L83)</f>
        <v>431.30000000004856</v>
      </c>
      <c r="N83">
        <f t="shared" si="1"/>
        <v>79.399999999997647</v>
      </c>
    </row>
    <row r="84" spans="1:14" x14ac:dyDescent="0.35">
      <c r="A84" t="s">
        <v>168</v>
      </c>
      <c r="B84" t="s">
        <v>169</v>
      </c>
      <c r="C84" t="s">
        <v>13</v>
      </c>
      <c r="D84">
        <v>23161.7</v>
      </c>
      <c r="E84">
        <v>23143.75</v>
      </c>
      <c r="F84">
        <v>23197.599999999999</v>
      </c>
      <c r="G84">
        <v>23143.75</v>
      </c>
      <c r="H84" t="s">
        <v>16</v>
      </c>
      <c r="I84">
        <v>17.950000000000699</v>
      </c>
      <c r="J84">
        <v>35.900000000001398</v>
      </c>
      <c r="K84">
        <v>-17.950000000000699</v>
      </c>
      <c r="L84">
        <f>SUM($K$2:K84)</f>
        <v>333.95000000005018</v>
      </c>
      <c r="M84">
        <f>MAX($L$2:L84)</f>
        <v>431.30000000004856</v>
      </c>
      <c r="N84">
        <f t="shared" si="1"/>
        <v>97.349999999998374</v>
      </c>
    </row>
    <row r="85" spans="1:14" x14ac:dyDescent="0.35">
      <c r="A85" t="s">
        <v>170</v>
      </c>
      <c r="B85" t="s">
        <v>171</v>
      </c>
      <c r="C85" t="s">
        <v>13</v>
      </c>
      <c r="D85">
        <v>23200.85</v>
      </c>
      <c r="E85">
        <v>23173.4</v>
      </c>
      <c r="F85">
        <v>23255.749999999902</v>
      </c>
      <c r="G85">
        <v>23255.749999999902</v>
      </c>
      <c r="H85" t="s">
        <v>14</v>
      </c>
      <c r="I85">
        <v>27.449999999997001</v>
      </c>
      <c r="J85">
        <v>54.899999999994101</v>
      </c>
      <c r="K85">
        <v>54.899999999994101</v>
      </c>
      <c r="L85">
        <f>SUM($K$2:K85)</f>
        <v>388.8500000000443</v>
      </c>
      <c r="M85">
        <f>MAX($L$2:L85)</f>
        <v>431.30000000004856</v>
      </c>
      <c r="N85">
        <f t="shared" si="1"/>
        <v>42.450000000004252</v>
      </c>
    </row>
    <row r="86" spans="1:14" x14ac:dyDescent="0.35">
      <c r="A86" t="s">
        <v>172</v>
      </c>
      <c r="B86" t="s">
        <v>173</v>
      </c>
      <c r="C86" t="s">
        <v>32</v>
      </c>
      <c r="D86">
        <v>23175.25</v>
      </c>
      <c r="E86">
        <v>23204</v>
      </c>
      <c r="F86">
        <v>23117.75</v>
      </c>
      <c r="G86">
        <v>23204</v>
      </c>
      <c r="H86" t="s">
        <v>16</v>
      </c>
      <c r="I86">
        <v>28.75</v>
      </c>
      <c r="J86">
        <v>57.5</v>
      </c>
      <c r="K86">
        <v>-28.75</v>
      </c>
      <c r="L86">
        <f>SUM($K$2:K86)</f>
        <v>360.1000000000443</v>
      </c>
      <c r="M86">
        <f>MAX($L$2:L86)</f>
        <v>431.30000000004856</v>
      </c>
      <c r="N86">
        <f t="shared" si="1"/>
        <v>71.200000000004252</v>
      </c>
    </row>
    <row r="87" spans="1:14" x14ac:dyDescent="0.35">
      <c r="A87" t="s">
        <v>174</v>
      </c>
      <c r="B87" t="s">
        <v>175</v>
      </c>
      <c r="C87" t="s">
        <v>32</v>
      </c>
      <c r="D87">
        <v>23181.75</v>
      </c>
      <c r="E87">
        <v>23292.1</v>
      </c>
      <c r="F87">
        <v>22961.05</v>
      </c>
      <c r="G87">
        <v>23203.1</v>
      </c>
      <c r="H87" t="s">
        <v>23</v>
      </c>
      <c r="I87">
        <v>110.349999999998</v>
      </c>
      <c r="J87">
        <v>220.699999999997</v>
      </c>
      <c r="K87">
        <v>-21.349999999998499</v>
      </c>
      <c r="L87">
        <f>SUM($K$2:K87)</f>
        <v>338.75000000004582</v>
      </c>
      <c r="M87">
        <f>MAX($L$2:L87)</f>
        <v>431.30000000004856</v>
      </c>
      <c r="N87">
        <f t="shared" si="1"/>
        <v>92.55000000000274</v>
      </c>
    </row>
    <row r="88" spans="1:14" x14ac:dyDescent="0.35">
      <c r="A88" t="s">
        <v>176</v>
      </c>
      <c r="B88" t="s">
        <v>177</v>
      </c>
      <c r="C88" t="s">
        <v>13</v>
      </c>
      <c r="D88">
        <v>23228.05</v>
      </c>
      <c r="E88">
        <v>23206.05</v>
      </c>
      <c r="F88">
        <v>23272.05</v>
      </c>
      <c r="G88">
        <v>23272.05</v>
      </c>
      <c r="H88" t="s">
        <v>14</v>
      </c>
      <c r="I88">
        <v>22</v>
      </c>
      <c r="J88">
        <v>44</v>
      </c>
      <c r="K88">
        <v>44</v>
      </c>
      <c r="L88">
        <f>SUM($K$2:K88)</f>
        <v>382.75000000004582</v>
      </c>
      <c r="M88">
        <f>MAX($L$2:L88)</f>
        <v>431.30000000004856</v>
      </c>
      <c r="N88">
        <f t="shared" si="1"/>
        <v>48.55000000000274</v>
      </c>
    </row>
    <row r="89" spans="1:14" x14ac:dyDescent="0.35">
      <c r="A89" t="s">
        <v>178</v>
      </c>
      <c r="B89" t="s">
        <v>179</v>
      </c>
      <c r="C89" t="s">
        <v>13</v>
      </c>
      <c r="D89">
        <v>23322.45</v>
      </c>
      <c r="E89">
        <v>23272.2</v>
      </c>
      <c r="F89">
        <v>23422.95</v>
      </c>
      <c r="G89">
        <v>23337.05</v>
      </c>
      <c r="H89" t="s">
        <v>23</v>
      </c>
      <c r="I89">
        <v>50.25</v>
      </c>
      <c r="J89">
        <v>100.5</v>
      </c>
      <c r="K89">
        <v>14.5999999999985</v>
      </c>
      <c r="L89">
        <f>SUM($K$2:K89)</f>
        <v>397.3500000000443</v>
      </c>
      <c r="M89">
        <f>MAX($L$2:L89)</f>
        <v>431.30000000004856</v>
      </c>
      <c r="N89">
        <f t="shared" si="1"/>
        <v>33.950000000004252</v>
      </c>
    </row>
    <row r="90" spans="1:14" x14ac:dyDescent="0.35">
      <c r="A90" t="s">
        <v>180</v>
      </c>
      <c r="B90" t="s">
        <v>181</v>
      </c>
      <c r="C90" t="s">
        <v>13</v>
      </c>
      <c r="D90">
        <v>23413.8</v>
      </c>
      <c r="E90">
        <v>23369.4</v>
      </c>
      <c r="F90">
        <v>23502.5999999999</v>
      </c>
      <c r="G90">
        <v>23369.4</v>
      </c>
      <c r="H90" t="s">
        <v>16</v>
      </c>
      <c r="I90">
        <v>44.399999999997803</v>
      </c>
      <c r="J90">
        <v>88.799999999995606</v>
      </c>
      <c r="K90">
        <v>-44.399999999997803</v>
      </c>
      <c r="L90">
        <f>SUM($K$2:K90)</f>
        <v>352.95000000004649</v>
      </c>
      <c r="M90">
        <f>MAX($L$2:L90)</f>
        <v>431.30000000004856</v>
      </c>
      <c r="N90">
        <f t="shared" si="1"/>
        <v>78.350000000002069</v>
      </c>
    </row>
    <row r="91" spans="1:14" x14ac:dyDescent="0.35">
      <c r="A91" t="s">
        <v>182</v>
      </c>
      <c r="B91" t="s">
        <v>183</v>
      </c>
      <c r="C91" t="s">
        <v>32</v>
      </c>
      <c r="D91">
        <v>23299.15</v>
      </c>
      <c r="E91">
        <v>23352.7</v>
      </c>
      <c r="F91">
        <v>23192.05</v>
      </c>
      <c r="G91">
        <v>23192.05</v>
      </c>
      <c r="H91" t="s">
        <v>14</v>
      </c>
      <c r="I91">
        <v>53.549999999999201</v>
      </c>
      <c r="J91">
        <v>107.099999999998</v>
      </c>
      <c r="K91">
        <v>107.099999999998</v>
      </c>
      <c r="L91">
        <f>SUM($K$2:K91)</f>
        <v>460.05000000004452</v>
      </c>
      <c r="M91">
        <f>MAX($L$2:L91)</f>
        <v>460.05000000004452</v>
      </c>
      <c r="N91">
        <f t="shared" si="1"/>
        <v>0</v>
      </c>
    </row>
    <row r="92" spans="1:14" x14ac:dyDescent="0.35">
      <c r="A92" t="s">
        <v>184</v>
      </c>
      <c r="B92" t="s">
        <v>185</v>
      </c>
      <c r="C92" t="s">
        <v>32</v>
      </c>
      <c r="D92">
        <v>23144.35</v>
      </c>
      <c r="E92">
        <v>23176.400000000001</v>
      </c>
      <c r="F92">
        <v>23080.249999999902</v>
      </c>
      <c r="G92">
        <v>23176.400000000001</v>
      </c>
      <c r="H92" t="s">
        <v>16</v>
      </c>
      <c r="I92">
        <v>32.050000000002903</v>
      </c>
      <c r="J92">
        <v>64.100000000005807</v>
      </c>
      <c r="K92">
        <v>-32.050000000002903</v>
      </c>
      <c r="L92">
        <f>SUM($K$2:K92)</f>
        <v>428.00000000004161</v>
      </c>
      <c r="M92">
        <f>MAX($L$2:L92)</f>
        <v>460.05000000004452</v>
      </c>
      <c r="N92">
        <f t="shared" si="1"/>
        <v>32.05000000000291</v>
      </c>
    </row>
    <row r="93" spans="1:14" x14ac:dyDescent="0.35">
      <c r="A93" t="s">
        <v>186</v>
      </c>
      <c r="B93" t="s">
        <v>187</v>
      </c>
      <c r="C93" t="s">
        <v>13</v>
      </c>
      <c r="D93">
        <v>23122</v>
      </c>
      <c r="E93">
        <v>23107.25</v>
      </c>
      <c r="F93">
        <v>23151.5</v>
      </c>
      <c r="G93">
        <v>23107.25</v>
      </c>
      <c r="H93" t="s">
        <v>16</v>
      </c>
      <c r="I93">
        <v>14.75</v>
      </c>
      <c r="J93">
        <v>29.5</v>
      </c>
      <c r="K93">
        <v>-14.75</v>
      </c>
      <c r="L93">
        <f>SUM($K$2:K93)</f>
        <v>413.25000000004161</v>
      </c>
      <c r="M93">
        <f>MAX($L$2:L93)</f>
        <v>460.05000000004452</v>
      </c>
      <c r="N93">
        <f t="shared" si="1"/>
        <v>46.80000000000291</v>
      </c>
    </row>
    <row r="94" spans="1:14" x14ac:dyDescent="0.35">
      <c r="A94" t="s">
        <v>188</v>
      </c>
      <c r="B94" t="s">
        <v>189</v>
      </c>
      <c r="C94" t="s">
        <v>32</v>
      </c>
      <c r="D94">
        <v>23064.95</v>
      </c>
      <c r="E94">
        <v>23086.2</v>
      </c>
      <c r="F94">
        <v>23022.45</v>
      </c>
      <c r="G94">
        <v>23022.45</v>
      </c>
      <c r="H94" t="s">
        <v>14</v>
      </c>
      <c r="I94">
        <v>21.25</v>
      </c>
      <c r="J94">
        <v>42.5</v>
      </c>
      <c r="K94">
        <v>42.5</v>
      </c>
      <c r="L94">
        <f>SUM($K$2:K94)</f>
        <v>455.75000000004161</v>
      </c>
      <c r="M94">
        <f>MAX($L$2:L94)</f>
        <v>460.05000000004452</v>
      </c>
      <c r="N94">
        <f t="shared" si="1"/>
        <v>4.3000000000029104</v>
      </c>
    </row>
    <row r="95" spans="1:14" x14ac:dyDescent="0.35">
      <c r="A95" t="s">
        <v>190</v>
      </c>
      <c r="B95" t="s">
        <v>191</v>
      </c>
      <c r="C95" t="s">
        <v>32</v>
      </c>
      <c r="D95">
        <v>23015.7</v>
      </c>
      <c r="E95">
        <v>23050.85</v>
      </c>
      <c r="F95">
        <v>22945.4</v>
      </c>
      <c r="G95">
        <v>23050.85</v>
      </c>
      <c r="H95" t="s">
        <v>16</v>
      </c>
      <c r="I95">
        <v>35.149999999997803</v>
      </c>
      <c r="J95">
        <v>70.299999999995606</v>
      </c>
      <c r="K95">
        <v>-35.149999999997803</v>
      </c>
      <c r="L95">
        <f>SUM($K$2:K95)</f>
        <v>420.60000000004379</v>
      </c>
      <c r="M95">
        <f>MAX($L$2:L95)</f>
        <v>460.05000000004452</v>
      </c>
      <c r="N95">
        <f t="shared" si="1"/>
        <v>39.450000000000728</v>
      </c>
    </row>
    <row r="96" spans="1:14" x14ac:dyDescent="0.35">
      <c r="A96" t="s">
        <v>192</v>
      </c>
      <c r="B96" t="s">
        <v>193</v>
      </c>
      <c r="C96" t="s">
        <v>13</v>
      </c>
      <c r="D96">
        <v>23254.25</v>
      </c>
      <c r="E96">
        <v>23220.1</v>
      </c>
      <c r="F96">
        <v>23322.55</v>
      </c>
      <c r="G96">
        <v>23220.1</v>
      </c>
      <c r="H96" t="s">
        <v>16</v>
      </c>
      <c r="I96">
        <v>34.150000000001398</v>
      </c>
      <c r="J96">
        <v>68.300000000002896</v>
      </c>
      <c r="K96">
        <v>-34.150000000001398</v>
      </c>
      <c r="L96">
        <f>SUM($K$2:K96)</f>
        <v>386.45000000004239</v>
      </c>
      <c r="M96">
        <f>MAX($L$2:L96)</f>
        <v>460.05000000004452</v>
      </c>
      <c r="N96">
        <f t="shared" si="1"/>
        <v>73.600000000002126</v>
      </c>
    </row>
    <row r="97" spans="1:14" x14ac:dyDescent="0.35">
      <c r="A97" t="s">
        <v>194</v>
      </c>
      <c r="B97" t="s">
        <v>195</v>
      </c>
      <c r="C97" t="s">
        <v>32</v>
      </c>
      <c r="D97">
        <v>23215.25</v>
      </c>
      <c r="E97">
        <v>23236.1</v>
      </c>
      <c r="F97">
        <v>23173.55</v>
      </c>
      <c r="G97">
        <v>23216.3</v>
      </c>
      <c r="H97" t="s">
        <v>23</v>
      </c>
      <c r="I97">
        <v>20.849999999998499</v>
      </c>
      <c r="J97">
        <v>41.699999999996997</v>
      </c>
      <c r="K97">
        <v>-1.04999999999927</v>
      </c>
      <c r="L97">
        <f>SUM($K$2:K97)</f>
        <v>385.40000000004312</v>
      </c>
      <c r="M97">
        <f>MAX($L$2:L97)</f>
        <v>460.05000000004452</v>
      </c>
      <c r="N97">
        <f t="shared" si="1"/>
        <v>74.650000000001398</v>
      </c>
    </row>
    <row r="98" spans="1:14" x14ac:dyDescent="0.35">
      <c r="A98" t="s">
        <v>196</v>
      </c>
      <c r="B98" t="s">
        <v>197</v>
      </c>
      <c r="C98" t="s">
        <v>32</v>
      </c>
      <c r="D98">
        <v>23182.75</v>
      </c>
      <c r="E98">
        <v>23247.9</v>
      </c>
      <c r="F98">
        <v>23052.449999999899</v>
      </c>
      <c r="G98">
        <v>23247.9</v>
      </c>
      <c r="H98" t="s">
        <v>16</v>
      </c>
      <c r="I98">
        <v>65.150000000001398</v>
      </c>
      <c r="J98">
        <v>130.300000000002</v>
      </c>
      <c r="K98">
        <v>-65.150000000001398</v>
      </c>
      <c r="L98">
        <f>SUM($K$2:K98)</f>
        <v>320.25000000004172</v>
      </c>
      <c r="M98">
        <f>MAX($L$2:L98)</f>
        <v>460.05000000004452</v>
      </c>
      <c r="N98">
        <f t="shared" si="1"/>
        <v>139.8000000000028</v>
      </c>
    </row>
    <row r="99" spans="1:14" x14ac:dyDescent="0.35">
      <c r="A99" t="s">
        <v>198</v>
      </c>
      <c r="B99" t="s">
        <v>199</v>
      </c>
      <c r="C99" t="s">
        <v>13</v>
      </c>
      <c r="D99">
        <v>23313.4</v>
      </c>
      <c r="E99">
        <v>23297.7</v>
      </c>
      <c r="F99">
        <v>23344.799999999999</v>
      </c>
      <c r="G99">
        <v>23297.7</v>
      </c>
      <c r="H99" t="s">
        <v>16</v>
      </c>
      <c r="I99">
        <v>15.700000000000699</v>
      </c>
      <c r="J99">
        <v>31.400000000001398</v>
      </c>
      <c r="K99">
        <v>-15.700000000000699</v>
      </c>
      <c r="L99">
        <f>SUM($K$2:K99)</f>
        <v>304.550000000041</v>
      </c>
      <c r="M99">
        <f>MAX($L$2:L99)</f>
        <v>460.05000000004452</v>
      </c>
      <c r="N99">
        <f t="shared" si="1"/>
        <v>155.50000000000352</v>
      </c>
    </row>
    <row r="100" spans="1:14" x14ac:dyDescent="0.35">
      <c r="A100" t="s">
        <v>200</v>
      </c>
      <c r="B100" t="s">
        <v>201</v>
      </c>
      <c r="C100" t="s">
        <v>32</v>
      </c>
      <c r="D100">
        <v>22871.55</v>
      </c>
      <c r="E100">
        <v>22892.35</v>
      </c>
      <c r="F100">
        <v>22829.95</v>
      </c>
      <c r="G100">
        <v>22829.95</v>
      </c>
      <c r="H100" t="s">
        <v>14</v>
      </c>
      <c r="I100">
        <v>20.799999999999201</v>
      </c>
      <c r="J100">
        <v>41.599999999998502</v>
      </c>
      <c r="K100">
        <v>41.599999999998502</v>
      </c>
      <c r="L100">
        <f>SUM($K$2:K100)</f>
        <v>346.15000000003948</v>
      </c>
      <c r="M100">
        <f>MAX($L$2:L100)</f>
        <v>460.05000000004452</v>
      </c>
      <c r="N100">
        <f t="shared" si="1"/>
        <v>113.90000000000504</v>
      </c>
    </row>
    <row r="101" spans="1:14" x14ac:dyDescent="0.35">
      <c r="A101" t="s">
        <v>201</v>
      </c>
      <c r="B101" t="s">
        <v>202</v>
      </c>
      <c r="C101" t="s">
        <v>32</v>
      </c>
      <c r="D101">
        <v>22840.95</v>
      </c>
      <c r="E101">
        <v>22866.55</v>
      </c>
      <c r="F101">
        <v>22789.75</v>
      </c>
      <c r="G101">
        <v>22866.55</v>
      </c>
      <c r="H101" t="s">
        <v>16</v>
      </c>
      <c r="I101">
        <v>25.599999999998499</v>
      </c>
      <c r="J101">
        <v>51.199999999996997</v>
      </c>
      <c r="K101">
        <v>-25.599999999998499</v>
      </c>
      <c r="L101">
        <f>SUM($K$2:K101)</f>
        <v>320.550000000041</v>
      </c>
      <c r="M101">
        <f>MAX($L$2:L101)</f>
        <v>460.05000000004452</v>
      </c>
      <c r="N101">
        <f t="shared" si="1"/>
        <v>139.50000000000352</v>
      </c>
    </row>
    <row r="102" spans="1:14" x14ac:dyDescent="0.35">
      <c r="A102" t="s">
        <v>203</v>
      </c>
      <c r="B102" t="s">
        <v>204</v>
      </c>
      <c r="C102" t="s">
        <v>32</v>
      </c>
      <c r="D102">
        <v>22847.9</v>
      </c>
      <c r="E102">
        <v>22870.05</v>
      </c>
      <c r="F102">
        <v>22803.599999999999</v>
      </c>
      <c r="G102">
        <v>22870.05</v>
      </c>
      <c r="H102" t="s">
        <v>16</v>
      </c>
      <c r="I102">
        <v>22.149999999997799</v>
      </c>
      <c r="J102">
        <v>44.299999999995599</v>
      </c>
      <c r="K102">
        <v>-22.149999999997799</v>
      </c>
      <c r="L102">
        <f>SUM($K$2:K102)</f>
        <v>298.40000000004318</v>
      </c>
      <c r="M102">
        <f>MAX($L$2:L102)</f>
        <v>460.05000000004452</v>
      </c>
      <c r="N102">
        <f t="shared" si="1"/>
        <v>161.65000000000134</v>
      </c>
    </row>
    <row r="103" spans="1:14" x14ac:dyDescent="0.35">
      <c r="A103" t="s">
        <v>205</v>
      </c>
      <c r="B103" t="s">
        <v>206</v>
      </c>
      <c r="C103" t="s">
        <v>13</v>
      </c>
      <c r="D103">
        <v>22911</v>
      </c>
      <c r="E103">
        <v>22874.3</v>
      </c>
      <c r="F103">
        <v>22984.400000000001</v>
      </c>
      <c r="G103">
        <v>22874.3</v>
      </c>
      <c r="H103" t="s">
        <v>16</v>
      </c>
      <c r="I103">
        <v>36.700000000000699</v>
      </c>
      <c r="J103">
        <v>73.400000000001398</v>
      </c>
      <c r="K103">
        <v>-36.700000000000699</v>
      </c>
      <c r="L103">
        <f>SUM($K$2:K103)</f>
        <v>261.70000000004245</v>
      </c>
      <c r="M103">
        <f>MAX($L$2:L103)</f>
        <v>460.05000000004452</v>
      </c>
      <c r="N103">
        <f t="shared" si="1"/>
        <v>198.35000000000207</v>
      </c>
    </row>
    <row r="104" spans="1:14" x14ac:dyDescent="0.35">
      <c r="A104" t="s">
        <v>207</v>
      </c>
      <c r="B104" t="s">
        <v>208</v>
      </c>
      <c r="C104" t="s">
        <v>13</v>
      </c>
      <c r="D104">
        <v>22892</v>
      </c>
      <c r="E104">
        <v>22859.7</v>
      </c>
      <c r="F104">
        <v>22956.6</v>
      </c>
      <c r="G104">
        <v>22859.7</v>
      </c>
      <c r="H104" t="s">
        <v>16</v>
      </c>
      <c r="I104">
        <v>32.299999999999201</v>
      </c>
      <c r="J104">
        <v>64.599999999998502</v>
      </c>
      <c r="K104">
        <v>-32.299999999999201</v>
      </c>
      <c r="L104">
        <f>SUM($K$2:K104)</f>
        <v>229.40000000004324</v>
      </c>
      <c r="M104">
        <f>MAX($L$2:L104)</f>
        <v>460.05000000004452</v>
      </c>
      <c r="N104">
        <f t="shared" si="1"/>
        <v>230.65000000000128</v>
      </c>
    </row>
    <row r="105" spans="1:14" x14ac:dyDescent="0.35">
      <c r="A105" t="s">
        <v>209</v>
      </c>
      <c r="B105" t="s">
        <v>210</v>
      </c>
      <c r="C105" t="s">
        <v>32</v>
      </c>
      <c r="D105">
        <v>22987.7</v>
      </c>
      <c r="E105">
        <v>23024.55</v>
      </c>
      <c r="F105">
        <v>22914</v>
      </c>
      <c r="G105">
        <v>23024.55</v>
      </c>
      <c r="H105" t="s">
        <v>16</v>
      </c>
      <c r="I105">
        <v>36.849999999998502</v>
      </c>
      <c r="J105">
        <v>73.699999999997004</v>
      </c>
      <c r="K105">
        <v>-36.849999999998502</v>
      </c>
      <c r="L105">
        <f>SUM($K$2:K105)</f>
        <v>192.55000000004475</v>
      </c>
      <c r="M105">
        <f>MAX($L$2:L105)</f>
        <v>460.05000000004452</v>
      </c>
      <c r="N105">
        <f t="shared" si="1"/>
        <v>267.49999999999977</v>
      </c>
    </row>
    <row r="106" spans="1:14" x14ac:dyDescent="0.35">
      <c r="A106" t="s">
        <v>211</v>
      </c>
      <c r="B106" t="s">
        <v>212</v>
      </c>
      <c r="C106" t="s">
        <v>13</v>
      </c>
      <c r="D106">
        <v>23100.05</v>
      </c>
      <c r="E106">
        <v>23056.1</v>
      </c>
      <c r="F106">
        <v>23187.95</v>
      </c>
      <c r="G106">
        <v>23056.1</v>
      </c>
      <c r="H106" t="s">
        <v>16</v>
      </c>
      <c r="I106">
        <v>43.950000000000699</v>
      </c>
      <c r="J106">
        <v>87.900000000001398</v>
      </c>
      <c r="K106">
        <v>-43.950000000000699</v>
      </c>
      <c r="L106">
        <f>SUM($K$2:K106)</f>
        <v>148.60000000004405</v>
      </c>
      <c r="M106">
        <f>MAX($L$2:L106)</f>
        <v>460.05000000004452</v>
      </c>
      <c r="N106">
        <f t="shared" si="1"/>
        <v>311.4500000000005</v>
      </c>
    </row>
    <row r="107" spans="1:14" x14ac:dyDescent="0.35">
      <c r="A107" t="s">
        <v>213</v>
      </c>
      <c r="B107" t="s">
        <v>214</v>
      </c>
      <c r="C107" t="s">
        <v>13</v>
      </c>
      <c r="D107">
        <v>23171.55</v>
      </c>
      <c r="E107">
        <v>23139.200000000001</v>
      </c>
      <c r="F107">
        <v>23236.249999999902</v>
      </c>
      <c r="G107">
        <v>23236.249999999902</v>
      </c>
      <c r="H107" t="s">
        <v>14</v>
      </c>
      <c r="I107">
        <v>32.349999999998502</v>
      </c>
      <c r="J107">
        <v>64.699999999997004</v>
      </c>
      <c r="K107">
        <v>64.699999999997004</v>
      </c>
      <c r="L107">
        <f>SUM($K$2:K107)</f>
        <v>213.30000000004105</v>
      </c>
      <c r="M107">
        <f>MAX($L$2:L107)</f>
        <v>460.05000000004452</v>
      </c>
      <c r="N107">
        <f t="shared" si="1"/>
        <v>246.75000000000347</v>
      </c>
    </row>
    <row r="108" spans="1:14" x14ac:dyDescent="0.35">
      <c r="A108" t="s">
        <v>215</v>
      </c>
      <c r="B108" t="s">
        <v>216</v>
      </c>
      <c r="C108" t="s">
        <v>32</v>
      </c>
      <c r="D108">
        <v>23223.599999999999</v>
      </c>
      <c r="E108">
        <v>23252.15</v>
      </c>
      <c r="F108">
        <v>23166.499999999902</v>
      </c>
      <c r="G108">
        <v>23166.499999999902</v>
      </c>
      <c r="H108" t="s">
        <v>14</v>
      </c>
      <c r="I108">
        <v>28.5500000000029</v>
      </c>
      <c r="J108">
        <v>57.100000000005799</v>
      </c>
      <c r="K108">
        <v>57.100000000005799</v>
      </c>
      <c r="L108">
        <f>SUM($K$2:K108)</f>
        <v>270.40000000004687</v>
      </c>
      <c r="M108">
        <f>MAX($L$2:L108)</f>
        <v>460.05000000004452</v>
      </c>
      <c r="N108">
        <f t="shared" si="1"/>
        <v>189.64999999999765</v>
      </c>
    </row>
    <row r="109" spans="1:14" x14ac:dyDescent="0.35">
      <c r="A109" t="s">
        <v>217</v>
      </c>
      <c r="B109" t="s">
        <v>218</v>
      </c>
      <c r="C109" t="s">
        <v>32</v>
      </c>
      <c r="D109">
        <v>23162.5</v>
      </c>
      <c r="E109">
        <v>23179.95</v>
      </c>
      <c r="F109">
        <v>23127.599999999999</v>
      </c>
      <c r="G109">
        <v>23179.95</v>
      </c>
      <c r="H109" t="s">
        <v>16</v>
      </c>
      <c r="I109">
        <v>17.450000000000699</v>
      </c>
      <c r="J109">
        <v>34.900000000001398</v>
      </c>
      <c r="K109">
        <v>-17.450000000000699</v>
      </c>
      <c r="L109">
        <f>SUM($K$2:K109)</f>
        <v>252.95000000004617</v>
      </c>
      <c r="M109">
        <f>MAX($L$2:L109)</f>
        <v>460.05000000004452</v>
      </c>
      <c r="N109">
        <f t="shared" si="1"/>
        <v>207.09999999999835</v>
      </c>
    </row>
    <row r="110" spans="1:14" x14ac:dyDescent="0.35">
      <c r="A110" t="s">
        <v>219</v>
      </c>
      <c r="B110" t="s">
        <v>220</v>
      </c>
      <c r="C110" t="s">
        <v>13</v>
      </c>
      <c r="D110">
        <v>23362.05</v>
      </c>
      <c r="E110">
        <v>23331.7</v>
      </c>
      <c r="F110">
        <v>23422.749999999902</v>
      </c>
      <c r="G110">
        <v>23422.749999999902</v>
      </c>
      <c r="H110" t="s">
        <v>14</v>
      </c>
      <c r="I110">
        <v>30.349999999998499</v>
      </c>
      <c r="J110">
        <v>60.699999999996997</v>
      </c>
      <c r="K110">
        <v>60.699999999996997</v>
      </c>
      <c r="L110">
        <f>SUM($K$2:K110)</f>
        <v>313.65000000004318</v>
      </c>
      <c r="M110">
        <f>MAX($L$2:L110)</f>
        <v>460.05000000004452</v>
      </c>
      <c r="N110">
        <f t="shared" si="1"/>
        <v>146.40000000000134</v>
      </c>
    </row>
    <row r="111" spans="1:14" x14ac:dyDescent="0.35">
      <c r="A111" t="s">
        <v>221</v>
      </c>
      <c r="B111" t="s">
        <v>222</v>
      </c>
      <c r="C111" t="s">
        <v>13</v>
      </c>
      <c r="D111">
        <v>23457.05</v>
      </c>
      <c r="E111">
        <v>23433</v>
      </c>
      <c r="F111">
        <v>23505.1499999999</v>
      </c>
      <c r="G111">
        <v>23505.1499999999</v>
      </c>
      <c r="H111" t="s">
        <v>14</v>
      </c>
      <c r="I111">
        <v>24.049999999999201</v>
      </c>
      <c r="J111">
        <v>48.099999999998502</v>
      </c>
      <c r="K111">
        <v>48.099999999998502</v>
      </c>
      <c r="L111">
        <f>SUM($K$2:K111)</f>
        <v>361.75000000004167</v>
      </c>
      <c r="M111">
        <f>MAX($L$2:L111)</f>
        <v>460.05000000004452</v>
      </c>
      <c r="N111">
        <f t="shared" si="1"/>
        <v>98.300000000002854</v>
      </c>
    </row>
    <row r="112" spans="1:14" x14ac:dyDescent="0.35">
      <c r="A112" t="s">
        <v>223</v>
      </c>
      <c r="B112" t="s">
        <v>224</v>
      </c>
      <c r="C112" t="s">
        <v>13</v>
      </c>
      <c r="D112">
        <v>23506.7</v>
      </c>
      <c r="E112">
        <v>23490.6</v>
      </c>
      <c r="F112">
        <v>23538.9</v>
      </c>
      <c r="G112">
        <v>23538.9</v>
      </c>
      <c r="H112" t="s">
        <v>14</v>
      </c>
      <c r="I112">
        <v>16.100000000002101</v>
      </c>
      <c r="J112">
        <v>32.200000000004302</v>
      </c>
      <c r="K112">
        <v>32.200000000004302</v>
      </c>
      <c r="L112">
        <f>SUM($K$2:K112)</f>
        <v>393.95000000004597</v>
      </c>
      <c r="M112">
        <f>MAX($L$2:L112)</f>
        <v>460.05000000004452</v>
      </c>
      <c r="N112">
        <f t="shared" si="1"/>
        <v>66.099999999998545</v>
      </c>
    </row>
    <row r="113" spans="1:14" x14ac:dyDescent="0.35">
      <c r="A113" t="s">
        <v>224</v>
      </c>
      <c r="B113" t="s">
        <v>225</v>
      </c>
      <c r="C113" t="s">
        <v>13</v>
      </c>
      <c r="D113">
        <v>23562.65</v>
      </c>
      <c r="E113">
        <v>23506.2</v>
      </c>
      <c r="F113">
        <v>23675.55</v>
      </c>
      <c r="G113">
        <v>23506.2</v>
      </c>
      <c r="H113" t="s">
        <v>16</v>
      </c>
      <c r="I113">
        <v>56.450000000000699</v>
      </c>
      <c r="J113">
        <v>112.900000000001</v>
      </c>
      <c r="K113">
        <v>-56.450000000000699</v>
      </c>
      <c r="L113">
        <f>SUM($K$2:K113)</f>
        <v>337.50000000004525</v>
      </c>
      <c r="M113">
        <f>MAX($L$2:L113)</f>
        <v>460.05000000004452</v>
      </c>
      <c r="N113">
        <f t="shared" si="1"/>
        <v>122.54999999999927</v>
      </c>
    </row>
    <row r="114" spans="1:14" x14ac:dyDescent="0.35">
      <c r="A114" t="s">
        <v>225</v>
      </c>
      <c r="B114" t="s">
        <v>226</v>
      </c>
      <c r="C114" t="s">
        <v>32</v>
      </c>
      <c r="D114">
        <v>23396.6</v>
      </c>
      <c r="E114">
        <v>23570.65</v>
      </c>
      <c r="F114">
        <v>23048.499999999902</v>
      </c>
      <c r="G114">
        <v>23495.3</v>
      </c>
      <c r="H114" t="s">
        <v>23</v>
      </c>
      <c r="I114">
        <v>174.050000000002</v>
      </c>
      <c r="J114">
        <v>348.10000000000502</v>
      </c>
      <c r="K114">
        <v>-98.700000000000699</v>
      </c>
      <c r="L114">
        <f>SUM($K$2:K114)</f>
        <v>238.80000000004455</v>
      </c>
      <c r="M114">
        <f>MAX($L$2:L114)</f>
        <v>460.05000000004452</v>
      </c>
      <c r="N114">
        <f t="shared" si="1"/>
        <v>221.24999999999997</v>
      </c>
    </row>
    <row r="115" spans="1:14" x14ac:dyDescent="0.35">
      <c r="A115" t="s">
        <v>227</v>
      </c>
      <c r="B115" t="s">
        <v>228</v>
      </c>
      <c r="C115" t="s">
        <v>32</v>
      </c>
      <c r="D115">
        <v>23270.9</v>
      </c>
      <c r="E115">
        <v>23292.400000000001</v>
      </c>
      <c r="F115">
        <v>23227.9</v>
      </c>
      <c r="G115">
        <v>23292.400000000001</v>
      </c>
      <c r="H115" t="s">
        <v>16</v>
      </c>
      <c r="I115">
        <v>21.5</v>
      </c>
      <c r="J115">
        <v>43</v>
      </c>
      <c r="K115">
        <v>-21.5</v>
      </c>
      <c r="L115">
        <f>SUM($K$2:K115)</f>
        <v>217.30000000004455</v>
      </c>
      <c r="M115">
        <f>MAX($L$2:L115)</f>
        <v>460.05000000004452</v>
      </c>
      <c r="N115">
        <f t="shared" si="1"/>
        <v>242.74999999999997</v>
      </c>
    </row>
    <row r="116" spans="1:14" x14ac:dyDescent="0.35">
      <c r="A116" t="s">
        <v>229</v>
      </c>
      <c r="B116" t="s">
        <v>230</v>
      </c>
      <c r="C116" t="s">
        <v>32</v>
      </c>
      <c r="D116">
        <v>23271.85</v>
      </c>
      <c r="E116">
        <v>23293.200000000001</v>
      </c>
      <c r="F116">
        <v>23229.1499999999</v>
      </c>
      <c r="G116">
        <v>23293.200000000001</v>
      </c>
      <c r="H116" t="s">
        <v>16</v>
      </c>
      <c r="I116">
        <v>21.350000000002101</v>
      </c>
      <c r="J116">
        <v>42.700000000004302</v>
      </c>
      <c r="K116">
        <v>-21.350000000002101</v>
      </c>
      <c r="L116">
        <f>SUM($K$2:K116)</f>
        <v>195.95000000004245</v>
      </c>
      <c r="M116">
        <f>MAX($L$2:L116)</f>
        <v>460.05000000004452</v>
      </c>
      <c r="N116">
        <f t="shared" si="1"/>
        <v>264.10000000000207</v>
      </c>
    </row>
    <row r="117" spans="1:14" x14ac:dyDescent="0.35">
      <c r="A117" t="s">
        <v>231</v>
      </c>
      <c r="B117" t="s">
        <v>232</v>
      </c>
      <c r="C117" t="s">
        <v>13</v>
      </c>
      <c r="D117">
        <v>23525.35</v>
      </c>
      <c r="E117">
        <v>23509.4</v>
      </c>
      <c r="F117">
        <v>23557.249999999902</v>
      </c>
      <c r="G117">
        <v>23509.4</v>
      </c>
      <c r="H117" t="s">
        <v>16</v>
      </c>
      <c r="I117">
        <v>15.949999999997001</v>
      </c>
      <c r="J117">
        <v>31.899999999994101</v>
      </c>
      <c r="K117">
        <v>-15.949999999997001</v>
      </c>
      <c r="L117">
        <f>SUM($K$2:K117)</f>
        <v>180.00000000004545</v>
      </c>
      <c r="M117">
        <f>MAX($L$2:L117)</f>
        <v>460.05000000004452</v>
      </c>
      <c r="N117">
        <f t="shared" si="1"/>
        <v>280.04999999999905</v>
      </c>
    </row>
    <row r="118" spans="1:14" x14ac:dyDescent="0.35">
      <c r="A118" t="s">
        <v>233</v>
      </c>
      <c r="B118" t="s">
        <v>234</v>
      </c>
      <c r="C118" t="s">
        <v>13</v>
      </c>
      <c r="D118">
        <v>23522.75</v>
      </c>
      <c r="E118">
        <v>23493.9</v>
      </c>
      <c r="F118">
        <v>23580.449999999899</v>
      </c>
      <c r="G118">
        <v>23580.449999999899</v>
      </c>
      <c r="H118" t="s">
        <v>14</v>
      </c>
      <c r="I118">
        <v>28.849999999998499</v>
      </c>
      <c r="J118">
        <v>57.699999999996997</v>
      </c>
      <c r="K118">
        <v>57.699999999996997</v>
      </c>
      <c r="L118">
        <f>SUM($K$2:K118)</f>
        <v>237.70000000004245</v>
      </c>
      <c r="M118">
        <f>MAX($L$2:L118)</f>
        <v>460.05000000004452</v>
      </c>
      <c r="N118">
        <f t="shared" si="1"/>
        <v>222.35000000000207</v>
      </c>
    </row>
    <row r="119" spans="1:14" x14ac:dyDescent="0.35">
      <c r="A119" t="s">
        <v>234</v>
      </c>
      <c r="B119" t="s">
        <v>235</v>
      </c>
      <c r="C119" t="s">
        <v>13</v>
      </c>
      <c r="D119">
        <v>23598.15</v>
      </c>
      <c r="E119">
        <v>23538.9</v>
      </c>
      <c r="F119">
        <v>23716.65</v>
      </c>
      <c r="G119">
        <v>23538.9</v>
      </c>
      <c r="H119" t="s">
        <v>16</v>
      </c>
      <c r="I119">
        <v>59.25</v>
      </c>
      <c r="J119">
        <v>118.5</v>
      </c>
      <c r="K119">
        <v>-59.25</v>
      </c>
      <c r="L119">
        <f>SUM($K$2:K119)</f>
        <v>178.45000000004245</v>
      </c>
      <c r="M119">
        <f>MAX($L$2:L119)</f>
        <v>460.05000000004452</v>
      </c>
      <c r="N119">
        <f t="shared" si="1"/>
        <v>281.60000000000207</v>
      </c>
    </row>
    <row r="120" spans="1:14" x14ac:dyDescent="0.35">
      <c r="A120" t="s">
        <v>236</v>
      </c>
      <c r="B120" t="s">
        <v>237</v>
      </c>
      <c r="C120" t="s">
        <v>32</v>
      </c>
      <c r="D120">
        <v>23736.95</v>
      </c>
      <c r="E120">
        <v>23753.85</v>
      </c>
      <c r="F120">
        <v>23703.15</v>
      </c>
      <c r="G120">
        <v>23753.85</v>
      </c>
      <c r="H120" t="s">
        <v>16</v>
      </c>
      <c r="I120">
        <v>16.899999999997799</v>
      </c>
      <c r="J120">
        <v>33.799999999995599</v>
      </c>
      <c r="K120">
        <v>-16.899999999997799</v>
      </c>
      <c r="L120">
        <f>SUM($K$2:K120)</f>
        <v>161.55000000004466</v>
      </c>
      <c r="M120">
        <f>MAX($L$2:L120)</f>
        <v>460.05000000004452</v>
      </c>
      <c r="N120">
        <f t="shared" si="1"/>
        <v>298.49999999999989</v>
      </c>
    </row>
    <row r="121" spans="1:14" x14ac:dyDescent="0.35">
      <c r="A121" t="s">
        <v>238</v>
      </c>
      <c r="B121" t="s">
        <v>239</v>
      </c>
      <c r="C121" t="s">
        <v>13</v>
      </c>
      <c r="D121">
        <v>23770.7</v>
      </c>
      <c r="E121">
        <v>23757.05</v>
      </c>
      <c r="F121">
        <v>23798</v>
      </c>
      <c r="G121">
        <v>23757.05</v>
      </c>
      <c r="H121" t="s">
        <v>16</v>
      </c>
      <c r="I121">
        <v>13.6500000000014</v>
      </c>
      <c r="J121">
        <v>27.3000000000029</v>
      </c>
      <c r="K121">
        <v>-13.6500000000014</v>
      </c>
      <c r="L121">
        <f>SUM($K$2:K121)</f>
        <v>147.90000000004326</v>
      </c>
      <c r="M121">
        <f>MAX($L$2:L121)</f>
        <v>460.05000000004452</v>
      </c>
      <c r="N121">
        <f t="shared" si="1"/>
        <v>312.15000000000123</v>
      </c>
    </row>
    <row r="122" spans="1:14" x14ac:dyDescent="0.35">
      <c r="A122" t="s">
        <v>240</v>
      </c>
      <c r="B122" t="s">
        <v>241</v>
      </c>
      <c r="C122" t="s">
        <v>32</v>
      </c>
      <c r="D122">
        <v>23701.25</v>
      </c>
      <c r="E122">
        <v>23728.2</v>
      </c>
      <c r="F122">
        <v>23647.35</v>
      </c>
      <c r="G122">
        <v>23647.35</v>
      </c>
      <c r="H122" t="s">
        <v>14</v>
      </c>
      <c r="I122">
        <v>26.950000000000699</v>
      </c>
      <c r="J122">
        <v>53.900000000001398</v>
      </c>
      <c r="K122">
        <v>53.900000000001398</v>
      </c>
      <c r="L122">
        <f>SUM($K$2:K122)</f>
        <v>201.80000000004466</v>
      </c>
      <c r="M122">
        <f>MAX($L$2:L122)</f>
        <v>460.05000000004452</v>
      </c>
      <c r="N122">
        <f t="shared" si="1"/>
        <v>258.24999999999989</v>
      </c>
    </row>
    <row r="123" spans="1:14" x14ac:dyDescent="0.35">
      <c r="A123" t="s">
        <v>242</v>
      </c>
      <c r="B123" t="s">
        <v>243</v>
      </c>
      <c r="C123" t="s">
        <v>32</v>
      </c>
      <c r="D123">
        <v>23631.75</v>
      </c>
      <c r="E123">
        <v>23661.9</v>
      </c>
      <c r="F123">
        <v>23571.449999999899</v>
      </c>
      <c r="G123">
        <v>23571.449999999899</v>
      </c>
      <c r="H123" t="s">
        <v>14</v>
      </c>
      <c r="I123">
        <v>30.150000000001398</v>
      </c>
      <c r="J123">
        <v>60.300000000002903</v>
      </c>
      <c r="K123">
        <v>60.300000000002903</v>
      </c>
      <c r="L123">
        <f>SUM($K$2:K123)</f>
        <v>262.10000000004754</v>
      </c>
      <c r="M123">
        <f>MAX($L$2:L123)</f>
        <v>460.05000000004452</v>
      </c>
      <c r="N123">
        <f t="shared" si="1"/>
        <v>197.94999999999698</v>
      </c>
    </row>
    <row r="124" spans="1:14" x14ac:dyDescent="0.35">
      <c r="A124" t="s">
        <v>243</v>
      </c>
      <c r="B124" t="s">
        <v>244</v>
      </c>
      <c r="C124" t="s">
        <v>32</v>
      </c>
      <c r="D124">
        <v>23573</v>
      </c>
      <c r="E124">
        <v>23589.75</v>
      </c>
      <c r="F124">
        <v>23539.5</v>
      </c>
      <c r="G124">
        <v>23589.75</v>
      </c>
      <c r="H124" t="s">
        <v>16</v>
      </c>
      <c r="I124">
        <v>16.75</v>
      </c>
      <c r="J124">
        <v>33.5</v>
      </c>
      <c r="K124">
        <v>-16.75</v>
      </c>
      <c r="L124">
        <f>SUM($K$2:K124)</f>
        <v>245.35000000004754</v>
      </c>
      <c r="M124">
        <f>MAX($L$2:L124)</f>
        <v>460.05000000004452</v>
      </c>
      <c r="N124">
        <f t="shared" si="1"/>
        <v>214.69999999999698</v>
      </c>
    </row>
    <row r="125" spans="1:14" x14ac:dyDescent="0.35">
      <c r="A125" t="s">
        <v>245</v>
      </c>
      <c r="B125" t="s">
        <v>246</v>
      </c>
      <c r="C125" t="s">
        <v>13</v>
      </c>
      <c r="D125">
        <v>23594.45</v>
      </c>
      <c r="E125">
        <v>23574.9</v>
      </c>
      <c r="F125">
        <v>23633.55</v>
      </c>
      <c r="G125">
        <v>23633.55</v>
      </c>
      <c r="H125" t="s">
        <v>14</v>
      </c>
      <c r="I125">
        <v>19.549999999999201</v>
      </c>
      <c r="J125">
        <v>39.099999999998502</v>
      </c>
      <c r="K125">
        <v>39.099999999998502</v>
      </c>
      <c r="L125">
        <f>SUM($K$2:K125)</f>
        <v>284.45000000004603</v>
      </c>
      <c r="M125">
        <f>MAX($L$2:L125)</f>
        <v>460.05000000004452</v>
      </c>
      <c r="N125">
        <f t="shared" si="1"/>
        <v>175.59999999999849</v>
      </c>
    </row>
    <row r="126" spans="1:14" x14ac:dyDescent="0.35">
      <c r="A126" t="s">
        <v>246</v>
      </c>
      <c r="B126" t="s">
        <v>247</v>
      </c>
      <c r="C126" t="s">
        <v>13</v>
      </c>
      <c r="D126">
        <v>23653.45</v>
      </c>
      <c r="E126">
        <v>23573.75</v>
      </c>
      <c r="F126">
        <v>23812.85</v>
      </c>
      <c r="G126">
        <v>23573.75</v>
      </c>
      <c r="H126" t="s">
        <v>16</v>
      </c>
      <c r="I126">
        <v>79.700000000000699</v>
      </c>
      <c r="J126">
        <v>159.400000000001</v>
      </c>
      <c r="K126">
        <v>-79.700000000000699</v>
      </c>
      <c r="L126">
        <f>SUM($K$2:K126)</f>
        <v>204.75000000004533</v>
      </c>
      <c r="M126">
        <f>MAX($L$2:L126)</f>
        <v>460.05000000004452</v>
      </c>
      <c r="N126">
        <f t="shared" si="1"/>
        <v>255.29999999999919</v>
      </c>
    </row>
    <row r="127" spans="1:14" x14ac:dyDescent="0.35">
      <c r="A127" t="s">
        <v>248</v>
      </c>
      <c r="B127" t="s">
        <v>249</v>
      </c>
      <c r="C127" t="s">
        <v>13</v>
      </c>
      <c r="D127">
        <v>23646.65</v>
      </c>
      <c r="E127">
        <v>23613</v>
      </c>
      <c r="F127">
        <v>23713.95</v>
      </c>
      <c r="G127">
        <v>23613</v>
      </c>
      <c r="H127" t="s">
        <v>16</v>
      </c>
      <c r="I127">
        <v>33.650000000001398</v>
      </c>
      <c r="J127">
        <v>67.300000000002896</v>
      </c>
      <c r="K127">
        <v>-33.650000000001398</v>
      </c>
      <c r="L127">
        <f>SUM($K$2:K127)</f>
        <v>171.10000000004393</v>
      </c>
      <c r="M127">
        <f>MAX($L$2:L127)</f>
        <v>460.05000000004452</v>
      </c>
      <c r="N127">
        <f t="shared" si="1"/>
        <v>288.95000000000061</v>
      </c>
    </row>
    <row r="128" spans="1:14" x14ac:dyDescent="0.35">
      <c r="A128" t="s">
        <v>250</v>
      </c>
      <c r="B128" t="s">
        <v>251</v>
      </c>
      <c r="C128" t="s">
        <v>32</v>
      </c>
      <c r="D128">
        <v>23473.599999999999</v>
      </c>
      <c r="E128">
        <v>23499.05</v>
      </c>
      <c r="F128">
        <v>23422.699999999899</v>
      </c>
      <c r="G128">
        <v>23422.699999999899</v>
      </c>
      <c r="H128" t="s">
        <v>14</v>
      </c>
      <c r="I128">
        <v>25.450000000000699</v>
      </c>
      <c r="J128">
        <v>50.900000000001398</v>
      </c>
      <c r="K128">
        <v>50.900000000001398</v>
      </c>
      <c r="L128">
        <f>SUM($K$2:K128)</f>
        <v>222.00000000004533</v>
      </c>
      <c r="M128">
        <f>MAX($L$2:L128)</f>
        <v>460.05000000004452</v>
      </c>
      <c r="N128">
        <f t="shared" si="1"/>
        <v>238.04999999999919</v>
      </c>
    </row>
    <row r="129" spans="1:14" x14ac:dyDescent="0.35">
      <c r="A129" t="s">
        <v>252</v>
      </c>
      <c r="B129" t="s">
        <v>253</v>
      </c>
      <c r="C129" t="s">
        <v>32</v>
      </c>
      <c r="D129">
        <v>23388.75</v>
      </c>
      <c r="E129">
        <v>23445.85</v>
      </c>
      <c r="F129">
        <v>23274.55</v>
      </c>
      <c r="G129">
        <v>23376.05</v>
      </c>
      <c r="H129" t="s">
        <v>23</v>
      </c>
      <c r="I129">
        <v>57.099999999998502</v>
      </c>
      <c r="J129">
        <v>114.199999999997</v>
      </c>
      <c r="K129">
        <v>12.700000000000699</v>
      </c>
      <c r="L129">
        <f>SUM($K$2:K129)</f>
        <v>234.70000000004603</v>
      </c>
      <c r="M129">
        <f>MAX($L$2:L129)</f>
        <v>460.05000000004452</v>
      </c>
      <c r="N129">
        <f t="shared" si="1"/>
        <v>225.34999999999849</v>
      </c>
    </row>
    <row r="130" spans="1:14" x14ac:dyDescent="0.35">
      <c r="A130" t="s">
        <v>254</v>
      </c>
      <c r="B130" t="s">
        <v>255</v>
      </c>
      <c r="C130" t="s">
        <v>32</v>
      </c>
      <c r="D130">
        <v>23310.45</v>
      </c>
      <c r="E130">
        <v>23343.35</v>
      </c>
      <c r="F130">
        <v>23244.65</v>
      </c>
      <c r="G130">
        <v>23244.65</v>
      </c>
      <c r="H130" t="s">
        <v>14</v>
      </c>
      <c r="I130">
        <v>32.899999999997803</v>
      </c>
      <c r="J130">
        <v>65.799999999995606</v>
      </c>
      <c r="K130">
        <v>65.799999999995606</v>
      </c>
      <c r="L130">
        <f>SUM($K$2:K130)</f>
        <v>300.50000000004161</v>
      </c>
      <c r="M130">
        <f>MAX($L$2:L130)</f>
        <v>460.05000000004452</v>
      </c>
      <c r="N130">
        <f t="shared" ref="N130:N193" si="2">M130-L130</f>
        <v>159.55000000000291</v>
      </c>
    </row>
    <row r="131" spans="1:14" x14ac:dyDescent="0.35">
      <c r="A131" t="s">
        <v>256</v>
      </c>
      <c r="B131" t="s">
        <v>257</v>
      </c>
      <c r="C131" t="s">
        <v>32</v>
      </c>
      <c r="D131">
        <v>23211.65</v>
      </c>
      <c r="E131">
        <v>23239.4</v>
      </c>
      <c r="F131">
        <v>23156.15</v>
      </c>
      <c r="G131">
        <v>23156.15</v>
      </c>
      <c r="H131" t="s">
        <v>14</v>
      </c>
      <c r="I131">
        <v>27.75</v>
      </c>
      <c r="J131">
        <v>55.5</v>
      </c>
      <c r="K131">
        <v>55.5</v>
      </c>
      <c r="L131">
        <f>SUM($K$2:K131)</f>
        <v>356.00000000004161</v>
      </c>
      <c r="M131">
        <f>MAX($L$2:L131)</f>
        <v>460.05000000004452</v>
      </c>
      <c r="N131">
        <f t="shared" si="2"/>
        <v>104.05000000000291</v>
      </c>
    </row>
    <row r="132" spans="1:14" x14ac:dyDescent="0.35">
      <c r="A132" t="s">
        <v>258</v>
      </c>
      <c r="B132" t="s">
        <v>259</v>
      </c>
      <c r="C132" t="s">
        <v>32</v>
      </c>
      <c r="D132">
        <v>23022.75</v>
      </c>
      <c r="E132">
        <v>23053.1</v>
      </c>
      <c r="F132">
        <v>22962.05</v>
      </c>
      <c r="G132">
        <v>23053.1</v>
      </c>
      <c r="H132" t="s">
        <v>16</v>
      </c>
      <c r="I132">
        <v>30.349999999998499</v>
      </c>
      <c r="J132">
        <v>60.699999999996997</v>
      </c>
      <c r="K132">
        <v>-30.349999999998499</v>
      </c>
      <c r="L132">
        <f>SUM($K$2:K132)</f>
        <v>325.65000000004312</v>
      </c>
      <c r="M132">
        <f>MAX($L$2:L132)</f>
        <v>460.05000000004452</v>
      </c>
      <c r="N132">
        <f t="shared" si="2"/>
        <v>134.4000000000014</v>
      </c>
    </row>
    <row r="133" spans="1:14" x14ac:dyDescent="0.35">
      <c r="A133" t="s">
        <v>259</v>
      </c>
      <c r="B133" t="s">
        <v>260</v>
      </c>
      <c r="C133" t="s">
        <v>32</v>
      </c>
      <c r="D133">
        <v>23018.3</v>
      </c>
      <c r="E133">
        <v>23054.95</v>
      </c>
      <c r="F133">
        <v>22944.999999999902</v>
      </c>
      <c r="G133">
        <v>23054.95</v>
      </c>
      <c r="H133" t="s">
        <v>16</v>
      </c>
      <c r="I133">
        <v>36.650000000001398</v>
      </c>
      <c r="J133">
        <v>73.300000000002896</v>
      </c>
      <c r="K133">
        <v>-36.650000000001398</v>
      </c>
      <c r="L133">
        <f>SUM($K$2:K133)</f>
        <v>289.00000000004172</v>
      </c>
      <c r="M133">
        <f>MAX($L$2:L133)</f>
        <v>460.05000000004452</v>
      </c>
      <c r="N133">
        <f t="shared" si="2"/>
        <v>171.0500000000028</v>
      </c>
    </row>
    <row r="134" spans="1:14" x14ac:dyDescent="0.35">
      <c r="A134" t="s">
        <v>261</v>
      </c>
      <c r="B134" t="s">
        <v>262</v>
      </c>
      <c r="C134" t="s">
        <v>32</v>
      </c>
      <c r="D134">
        <v>23000.3</v>
      </c>
      <c r="E134">
        <v>23047.65</v>
      </c>
      <c r="F134">
        <v>22905.5999999999</v>
      </c>
      <c r="G134">
        <v>22905.5999999999</v>
      </c>
      <c r="H134" t="s">
        <v>14</v>
      </c>
      <c r="I134">
        <v>47.350000000002098</v>
      </c>
      <c r="J134">
        <v>94.700000000004295</v>
      </c>
      <c r="K134">
        <v>94.700000000004295</v>
      </c>
      <c r="L134">
        <f>SUM($K$2:K134)</f>
        <v>383.70000000004603</v>
      </c>
      <c r="M134">
        <f>MAX($L$2:L134)</f>
        <v>460.05000000004452</v>
      </c>
      <c r="N134">
        <f t="shared" si="2"/>
        <v>76.349999999998488</v>
      </c>
    </row>
    <row r="135" spans="1:14" x14ac:dyDescent="0.35">
      <c r="A135" t="s">
        <v>263</v>
      </c>
      <c r="B135" t="s">
        <v>264</v>
      </c>
      <c r="C135" t="s">
        <v>32</v>
      </c>
      <c r="D135">
        <v>22866.65</v>
      </c>
      <c r="E135">
        <v>22916.85</v>
      </c>
      <c r="F135">
        <v>22766.25</v>
      </c>
      <c r="G135">
        <v>22916.85</v>
      </c>
      <c r="H135" t="s">
        <v>16</v>
      </c>
      <c r="I135">
        <v>50.199999999996997</v>
      </c>
      <c r="J135">
        <v>100.39999999999399</v>
      </c>
      <c r="K135">
        <v>-50.199999999996997</v>
      </c>
      <c r="L135">
        <f>SUM($K$2:K135)</f>
        <v>333.50000000004906</v>
      </c>
      <c r="M135">
        <f>MAX($L$2:L135)</f>
        <v>460.05000000004452</v>
      </c>
      <c r="N135">
        <f t="shared" si="2"/>
        <v>126.54999999999546</v>
      </c>
    </row>
    <row r="136" spans="1:14" x14ac:dyDescent="0.35">
      <c r="A136" t="s">
        <v>265</v>
      </c>
      <c r="B136" t="s">
        <v>266</v>
      </c>
      <c r="C136" t="s">
        <v>13</v>
      </c>
      <c r="D136">
        <v>23009.55</v>
      </c>
      <c r="E136">
        <v>22926</v>
      </c>
      <c r="F136">
        <v>23176.6499999999</v>
      </c>
      <c r="G136">
        <v>23057.8</v>
      </c>
      <c r="H136" t="s">
        <v>23</v>
      </c>
      <c r="I136">
        <v>83.549999999999201</v>
      </c>
      <c r="J136">
        <v>167.099999999998</v>
      </c>
      <c r="K136">
        <v>48.25</v>
      </c>
      <c r="L136">
        <f>SUM($K$2:K136)</f>
        <v>381.75000000004906</v>
      </c>
      <c r="M136">
        <f>MAX($L$2:L136)</f>
        <v>460.05000000004452</v>
      </c>
      <c r="N136">
        <f t="shared" si="2"/>
        <v>78.299999999995464</v>
      </c>
    </row>
    <row r="137" spans="1:14" x14ac:dyDescent="0.35">
      <c r="A137" t="s">
        <v>267</v>
      </c>
      <c r="B137" t="s">
        <v>268</v>
      </c>
      <c r="C137" t="s">
        <v>13</v>
      </c>
      <c r="D137">
        <v>23103.200000000001</v>
      </c>
      <c r="E137">
        <v>23024.55</v>
      </c>
      <c r="F137">
        <v>23260.5</v>
      </c>
      <c r="G137">
        <v>23024.55</v>
      </c>
      <c r="H137" t="s">
        <v>16</v>
      </c>
      <c r="I137">
        <v>78.650000000001398</v>
      </c>
      <c r="J137">
        <v>157.300000000002</v>
      </c>
      <c r="K137">
        <v>-78.650000000001398</v>
      </c>
      <c r="L137">
        <f>SUM($K$2:K137)</f>
        <v>303.10000000004766</v>
      </c>
      <c r="M137">
        <f>MAX($L$2:L137)</f>
        <v>460.05000000004452</v>
      </c>
      <c r="N137">
        <f t="shared" si="2"/>
        <v>156.94999999999686</v>
      </c>
    </row>
    <row r="138" spans="1:14" x14ac:dyDescent="0.35">
      <c r="A138" t="s">
        <v>269</v>
      </c>
      <c r="B138" t="s">
        <v>270</v>
      </c>
      <c r="C138" t="s">
        <v>32</v>
      </c>
      <c r="D138">
        <v>23017.9</v>
      </c>
      <c r="E138">
        <v>23074.400000000001</v>
      </c>
      <c r="F138">
        <v>22904.9</v>
      </c>
      <c r="G138">
        <v>23074.400000000001</v>
      </c>
      <c r="H138" t="s">
        <v>16</v>
      </c>
      <c r="I138">
        <v>56.5</v>
      </c>
      <c r="J138">
        <v>113</v>
      </c>
      <c r="K138">
        <v>-56.5</v>
      </c>
      <c r="L138">
        <f>SUM($K$2:K138)</f>
        <v>246.60000000004766</v>
      </c>
      <c r="M138">
        <f>MAX($L$2:L138)</f>
        <v>460.05000000004452</v>
      </c>
      <c r="N138">
        <f t="shared" si="2"/>
        <v>213.44999999999686</v>
      </c>
    </row>
    <row r="139" spans="1:14" x14ac:dyDescent="0.35">
      <c r="A139" t="s">
        <v>271</v>
      </c>
      <c r="B139" t="s">
        <v>272</v>
      </c>
      <c r="C139" t="s">
        <v>32</v>
      </c>
      <c r="D139">
        <v>22951.75</v>
      </c>
      <c r="E139">
        <v>23029.8</v>
      </c>
      <c r="F139">
        <v>22795.65</v>
      </c>
      <c r="G139">
        <v>22795.65</v>
      </c>
      <c r="H139" t="s">
        <v>14</v>
      </c>
      <c r="I139">
        <v>78.049999999999201</v>
      </c>
      <c r="J139">
        <v>156.099999999998</v>
      </c>
      <c r="K139">
        <v>156.099999999998</v>
      </c>
      <c r="L139">
        <f>SUM($K$2:K139)</f>
        <v>402.70000000004563</v>
      </c>
      <c r="M139">
        <f>MAX($L$2:L139)</f>
        <v>460.05000000004452</v>
      </c>
      <c r="N139">
        <f t="shared" si="2"/>
        <v>57.349999999998886</v>
      </c>
    </row>
    <row r="140" spans="1:14" x14ac:dyDescent="0.35">
      <c r="A140" t="s">
        <v>273</v>
      </c>
      <c r="B140" t="s">
        <v>274</v>
      </c>
      <c r="C140" t="s">
        <v>32</v>
      </c>
      <c r="D140">
        <v>22792.95</v>
      </c>
      <c r="E140">
        <v>22817.55</v>
      </c>
      <c r="F140">
        <v>22743.75</v>
      </c>
      <c r="G140">
        <v>22817.55</v>
      </c>
      <c r="H140" t="s">
        <v>16</v>
      </c>
      <c r="I140">
        <v>24.599999999998499</v>
      </c>
      <c r="J140">
        <v>49.199999999996997</v>
      </c>
      <c r="K140">
        <v>-24.599999999998499</v>
      </c>
      <c r="L140">
        <f>SUM($K$2:K140)</f>
        <v>378.10000000004715</v>
      </c>
      <c r="M140">
        <f>MAX($L$2:L140)</f>
        <v>460.05000000004452</v>
      </c>
      <c r="N140">
        <f t="shared" si="2"/>
        <v>81.949999999997374</v>
      </c>
    </row>
    <row r="141" spans="1:14" x14ac:dyDescent="0.35">
      <c r="A141" t="s">
        <v>275</v>
      </c>
      <c r="B141" t="s">
        <v>276</v>
      </c>
      <c r="C141" t="s">
        <v>13</v>
      </c>
      <c r="D141">
        <v>22862.45</v>
      </c>
      <c r="E141">
        <v>22845.45</v>
      </c>
      <c r="F141">
        <v>22896.45</v>
      </c>
      <c r="G141">
        <v>22845.45</v>
      </c>
      <c r="H141" t="s">
        <v>16</v>
      </c>
      <c r="I141">
        <v>17</v>
      </c>
      <c r="J141">
        <v>34</v>
      </c>
      <c r="K141">
        <v>-17</v>
      </c>
      <c r="L141">
        <f>SUM($K$2:K141)</f>
        <v>361.10000000004715</v>
      </c>
      <c r="M141">
        <f>MAX($L$2:L141)</f>
        <v>460.05000000004452</v>
      </c>
      <c r="N141">
        <f t="shared" si="2"/>
        <v>98.949999999997374</v>
      </c>
    </row>
    <row r="142" spans="1:14" x14ac:dyDescent="0.35">
      <c r="A142" t="s">
        <v>277</v>
      </c>
      <c r="B142" t="s">
        <v>278</v>
      </c>
      <c r="C142" t="s">
        <v>32</v>
      </c>
      <c r="D142">
        <v>22811.65</v>
      </c>
      <c r="E142">
        <v>22830.7</v>
      </c>
      <c r="F142">
        <v>22773.55</v>
      </c>
      <c r="G142">
        <v>22830.7</v>
      </c>
      <c r="H142" t="s">
        <v>16</v>
      </c>
      <c r="I142">
        <v>19.049999999999201</v>
      </c>
      <c r="J142">
        <v>38.099999999998502</v>
      </c>
      <c r="K142">
        <v>-19.049999999999201</v>
      </c>
      <c r="L142">
        <f>SUM($K$2:K142)</f>
        <v>342.05000000004793</v>
      </c>
      <c r="M142">
        <f>MAX($L$2:L142)</f>
        <v>460.05000000004452</v>
      </c>
      <c r="N142">
        <f t="shared" si="2"/>
        <v>117.99999999999659</v>
      </c>
    </row>
    <row r="143" spans="1:14" x14ac:dyDescent="0.35">
      <c r="A143" t="s">
        <v>279</v>
      </c>
      <c r="B143" t="s">
        <v>280</v>
      </c>
      <c r="C143" t="s">
        <v>13</v>
      </c>
      <c r="D143">
        <v>22937.9</v>
      </c>
      <c r="E143">
        <v>22913.95</v>
      </c>
      <c r="F143">
        <v>22985.8</v>
      </c>
      <c r="G143">
        <v>22913.95</v>
      </c>
      <c r="H143" t="s">
        <v>16</v>
      </c>
      <c r="I143">
        <v>23.950000000000699</v>
      </c>
      <c r="J143">
        <v>47.900000000001398</v>
      </c>
      <c r="K143">
        <v>-23.950000000000699</v>
      </c>
      <c r="L143">
        <f>SUM($K$2:K143)</f>
        <v>318.1000000000472</v>
      </c>
      <c r="M143">
        <f>MAX($L$2:L143)</f>
        <v>460.05000000004452</v>
      </c>
      <c r="N143">
        <f t="shared" si="2"/>
        <v>141.94999999999732</v>
      </c>
    </row>
    <row r="144" spans="1:14" x14ac:dyDescent="0.35">
      <c r="A144" t="s">
        <v>281</v>
      </c>
      <c r="B144" t="s">
        <v>282</v>
      </c>
      <c r="C144" t="s">
        <v>32</v>
      </c>
      <c r="D144">
        <v>22868</v>
      </c>
      <c r="E144">
        <v>22909.05</v>
      </c>
      <c r="F144">
        <v>22785.9</v>
      </c>
      <c r="G144">
        <v>22909.05</v>
      </c>
      <c r="H144" t="s">
        <v>16</v>
      </c>
      <c r="I144">
        <v>41.049999999999201</v>
      </c>
      <c r="J144">
        <v>82.099999999998502</v>
      </c>
      <c r="K144">
        <v>-41.049999999999201</v>
      </c>
      <c r="L144">
        <f>SUM($K$2:K144)</f>
        <v>277.05000000004799</v>
      </c>
      <c r="M144">
        <f>MAX($L$2:L144)</f>
        <v>460.05000000004452</v>
      </c>
      <c r="N144">
        <f t="shared" si="2"/>
        <v>182.99999999999653</v>
      </c>
    </row>
    <row r="145" spans="1:14" x14ac:dyDescent="0.35">
      <c r="A145" t="s">
        <v>283</v>
      </c>
      <c r="B145" t="s">
        <v>284</v>
      </c>
      <c r="C145" t="s">
        <v>13</v>
      </c>
      <c r="D145">
        <v>22985.599999999999</v>
      </c>
      <c r="E145">
        <v>22954.25</v>
      </c>
      <c r="F145">
        <v>23048.299999999901</v>
      </c>
      <c r="G145">
        <v>23048.299999999901</v>
      </c>
      <c r="H145" t="s">
        <v>14</v>
      </c>
      <c r="I145">
        <v>31.349999999998499</v>
      </c>
      <c r="J145">
        <v>62.699999999996997</v>
      </c>
      <c r="K145">
        <v>62.699999999996997</v>
      </c>
      <c r="L145">
        <f>SUM($K$2:K145)</f>
        <v>339.75000000004496</v>
      </c>
      <c r="M145">
        <f>MAX($L$2:L145)</f>
        <v>460.05000000004452</v>
      </c>
      <c r="N145">
        <f t="shared" si="2"/>
        <v>120.29999999999956</v>
      </c>
    </row>
    <row r="146" spans="1:14" x14ac:dyDescent="0.35">
      <c r="A146" t="s">
        <v>285</v>
      </c>
      <c r="B146" t="s">
        <v>286</v>
      </c>
      <c r="C146" t="s">
        <v>13</v>
      </c>
      <c r="D146">
        <v>23001.65</v>
      </c>
      <c r="E146">
        <v>22982.799999999999</v>
      </c>
      <c r="F146">
        <v>23039.35</v>
      </c>
      <c r="G146">
        <v>22982.799999999999</v>
      </c>
      <c r="H146" t="s">
        <v>16</v>
      </c>
      <c r="I146">
        <v>18.850000000002101</v>
      </c>
      <c r="J146">
        <v>37.700000000004302</v>
      </c>
      <c r="K146">
        <v>-18.850000000002101</v>
      </c>
      <c r="L146">
        <f>SUM($K$2:K146)</f>
        <v>320.90000000004284</v>
      </c>
      <c r="M146">
        <f>MAX($L$2:L146)</f>
        <v>460.05000000004452</v>
      </c>
      <c r="N146">
        <f t="shared" si="2"/>
        <v>139.15000000000168</v>
      </c>
    </row>
    <row r="147" spans="1:14" x14ac:dyDescent="0.35">
      <c r="A147" t="s">
        <v>287</v>
      </c>
      <c r="B147" t="s">
        <v>288</v>
      </c>
      <c r="C147" t="s">
        <v>32</v>
      </c>
      <c r="D147">
        <v>22924.55</v>
      </c>
      <c r="E147">
        <v>22947.9</v>
      </c>
      <c r="F147">
        <v>22877.8499999999</v>
      </c>
      <c r="G147">
        <v>22947.9</v>
      </c>
      <c r="H147" t="s">
        <v>16</v>
      </c>
      <c r="I147">
        <v>23.350000000002101</v>
      </c>
      <c r="J147">
        <v>46.700000000004302</v>
      </c>
      <c r="K147">
        <v>-23.350000000002101</v>
      </c>
      <c r="L147">
        <f>SUM($K$2:K147)</f>
        <v>297.55000000004071</v>
      </c>
      <c r="M147">
        <f>MAX($L$2:L147)</f>
        <v>460.05000000004452</v>
      </c>
      <c r="N147">
        <f t="shared" si="2"/>
        <v>162.50000000000381</v>
      </c>
    </row>
    <row r="148" spans="1:14" x14ac:dyDescent="0.35">
      <c r="A148" t="s">
        <v>289</v>
      </c>
      <c r="B148" t="s">
        <v>290</v>
      </c>
      <c r="C148" t="s">
        <v>32</v>
      </c>
      <c r="D148">
        <v>22825.200000000001</v>
      </c>
      <c r="E148">
        <v>22881.1</v>
      </c>
      <c r="F148">
        <v>22713.4</v>
      </c>
      <c r="G148">
        <v>22881.1</v>
      </c>
      <c r="H148" t="s">
        <v>16</v>
      </c>
      <c r="I148">
        <v>55.899999999997803</v>
      </c>
      <c r="J148">
        <v>111.79999999999499</v>
      </c>
      <c r="K148">
        <v>-55.899999999997803</v>
      </c>
      <c r="L148">
        <f>SUM($K$2:K148)</f>
        <v>241.65000000004289</v>
      </c>
      <c r="M148">
        <f>MAX($L$2:L148)</f>
        <v>460.05000000004452</v>
      </c>
      <c r="N148">
        <f t="shared" si="2"/>
        <v>218.40000000000163</v>
      </c>
    </row>
    <row r="149" spans="1:14" x14ac:dyDescent="0.35">
      <c r="A149" t="s">
        <v>291</v>
      </c>
      <c r="B149" t="s">
        <v>292</v>
      </c>
      <c r="C149" t="s">
        <v>13</v>
      </c>
      <c r="D149">
        <v>22911.65</v>
      </c>
      <c r="E149">
        <v>22899.05</v>
      </c>
      <c r="F149">
        <v>22936.85</v>
      </c>
      <c r="G149">
        <v>22906.25</v>
      </c>
      <c r="H149" t="s">
        <v>23</v>
      </c>
      <c r="I149">
        <v>12.600000000002099</v>
      </c>
      <c r="J149">
        <v>25.200000000004302</v>
      </c>
      <c r="K149">
        <v>-5.4000000000014499</v>
      </c>
      <c r="L149">
        <f>SUM($K$2:K149)</f>
        <v>236.25000000004144</v>
      </c>
      <c r="M149">
        <f>MAX($L$2:L149)</f>
        <v>460.05000000004452</v>
      </c>
      <c r="N149">
        <f t="shared" si="2"/>
        <v>223.80000000000308</v>
      </c>
    </row>
    <row r="150" spans="1:14" x14ac:dyDescent="0.35">
      <c r="A150" t="s">
        <v>293</v>
      </c>
      <c r="B150" t="s">
        <v>294</v>
      </c>
      <c r="C150" t="s">
        <v>32</v>
      </c>
      <c r="D150">
        <v>22878.1</v>
      </c>
      <c r="E150">
        <v>22898.15</v>
      </c>
      <c r="F150">
        <v>22837.999999999902</v>
      </c>
      <c r="G150">
        <v>22837.999999999902</v>
      </c>
      <c r="H150" t="s">
        <v>14</v>
      </c>
      <c r="I150">
        <v>20.0500000000029</v>
      </c>
      <c r="J150">
        <v>40.100000000005799</v>
      </c>
      <c r="K150">
        <v>40.100000000005799</v>
      </c>
      <c r="L150">
        <f>SUM($K$2:K150)</f>
        <v>276.35000000004726</v>
      </c>
      <c r="M150">
        <f>MAX($L$2:L150)</f>
        <v>460.05000000004452</v>
      </c>
      <c r="N150">
        <f t="shared" si="2"/>
        <v>183.69999999999726</v>
      </c>
    </row>
    <row r="151" spans="1:14" x14ac:dyDescent="0.35">
      <c r="A151" t="s">
        <v>295</v>
      </c>
      <c r="B151" t="s">
        <v>296</v>
      </c>
      <c r="C151" t="s">
        <v>32</v>
      </c>
      <c r="D151">
        <v>22775.85</v>
      </c>
      <c r="E151">
        <v>22797.95</v>
      </c>
      <c r="F151">
        <v>22731.6499999999</v>
      </c>
      <c r="G151">
        <v>22797.95</v>
      </c>
      <c r="H151" t="s">
        <v>16</v>
      </c>
      <c r="I151">
        <v>22.100000000002101</v>
      </c>
      <c r="J151">
        <v>44.200000000004302</v>
      </c>
      <c r="K151">
        <v>-22.100000000002101</v>
      </c>
      <c r="L151">
        <f>SUM($K$2:K151)</f>
        <v>254.25000000004516</v>
      </c>
      <c r="M151">
        <f>MAX($L$2:L151)</f>
        <v>460.05000000004452</v>
      </c>
      <c r="N151">
        <f t="shared" si="2"/>
        <v>205.79999999999936</v>
      </c>
    </row>
    <row r="152" spans="1:14" x14ac:dyDescent="0.35">
      <c r="A152" t="s">
        <v>297</v>
      </c>
      <c r="B152" t="s">
        <v>298</v>
      </c>
      <c r="C152" t="s">
        <v>32</v>
      </c>
      <c r="D152">
        <v>22753.55</v>
      </c>
      <c r="E152">
        <v>22778.2</v>
      </c>
      <c r="F152">
        <v>22704.249999999902</v>
      </c>
      <c r="G152">
        <v>22778.2</v>
      </c>
      <c r="H152" t="s">
        <v>16</v>
      </c>
      <c r="I152">
        <v>24.650000000001398</v>
      </c>
      <c r="J152">
        <v>49.300000000002903</v>
      </c>
      <c r="K152">
        <v>-24.650000000001398</v>
      </c>
      <c r="L152">
        <f>SUM($K$2:K152)</f>
        <v>229.60000000004376</v>
      </c>
      <c r="M152">
        <f>MAX($L$2:L152)</f>
        <v>460.05000000004452</v>
      </c>
      <c r="N152">
        <f t="shared" si="2"/>
        <v>230.45000000000076</v>
      </c>
    </row>
    <row r="153" spans="1:14" x14ac:dyDescent="0.35">
      <c r="A153" t="s">
        <v>299</v>
      </c>
      <c r="B153" t="s">
        <v>300</v>
      </c>
      <c r="C153" t="s">
        <v>32</v>
      </c>
      <c r="D153">
        <v>22555.35</v>
      </c>
      <c r="E153">
        <v>22574.6</v>
      </c>
      <c r="F153">
        <v>22516.85</v>
      </c>
      <c r="G153">
        <v>22574.6</v>
      </c>
      <c r="H153" t="s">
        <v>16</v>
      </c>
      <c r="I153">
        <v>19.25</v>
      </c>
      <c r="J153">
        <v>38.5</v>
      </c>
      <c r="K153">
        <v>-19.25</v>
      </c>
      <c r="L153">
        <f>SUM($K$2:K153)</f>
        <v>210.35000000004376</v>
      </c>
      <c r="M153">
        <f>MAX($L$2:L153)</f>
        <v>460.05000000004452</v>
      </c>
      <c r="N153">
        <f t="shared" si="2"/>
        <v>249.70000000000076</v>
      </c>
    </row>
    <row r="154" spans="1:14" x14ac:dyDescent="0.35">
      <c r="A154" t="s">
        <v>301</v>
      </c>
      <c r="B154" t="s">
        <v>302</v>
      </c>
      <c r="C154" t="s">
        <v>32</v>
      </c>
      <c r="D154">
        <v>22564.55</v>
      </c>
      <c r="E154">
        <v>22582.799999999999</v>
      </c>
      <c r="F154">
        <v>22528.05</v>
      </c>
      <c r="G154">
        <v>22582.799999999999</v>
      </c>
      <c r="H154" t="s">
        <v>16</v>
      </c>
      <c r="I154">
        <v>18.25</v>
      </c>
      <c r="J154">
        <v>36.5</v>
      </c>
      <c r="K154">
        <v>-18.25</v>
      </c>
      <c r="L154">
        <f>SUM($K$2:K154)</f>
        <v>192.10000000004376</v>
      </c>
      <c r="M154">
        <f>MAX($L$2:L154)</f>
        <v>460.05000000004452</v>
      </c>
      <c r="N154">
        <f t="shared" si="2"/>
        <v>267.95000000000073</v>
      </c>
    </row>
    <row r="155" spans="1:14" x14ac:dyDescent="0.35">
      <c r="A155" t="s">
        <v>303</v>
      </c>
      <c r="B155" t="s">
        <v>304</v>
      </c>
      <c r="C155" t="s">
        <v>32</v>
      </c>
      <c r="D155">
        <v>22557.599999999999</v>
      </c>
      <c r="E155">
        <v>22573.599999999999</v>
      </c>
      <c r="F155">
        <v>22525.599999999999</v>
      </c>
      <c r="G155">
        <v>22573.599999999999</v>
      </c>
      <c r="H155" t="s">
        <v>16</v>
      </c>
      <c r="I155">
        <v>16</v>
      </c>
      <c r="J155">
        <v>32</v>
      </c>
      <c r="K155">
        <v>-16</v>
      </c>
      <c r="L155">
        <f>SUM($K$2:K155)</f>
        <v>176.10000000004376</v>
      </c>
      <c r="M155">
        <f>MAX($L$2:L155)</f>
        <v>460.05000000004452</v>
      </c>
      <c r="N155">
        <f t="shared" si="2"/>
        <v>283.95000000000073</v>
      </c>
    </row>
    <row r="156" spans="1:14" x14ac:dyDescent="0.35">
      <c r="A156" t="s">
        <v>305</v>
      </c>
      <c r="B156" t="s">
        <v>306</v>
      </c>
      <c r="C156" t="s">
        <v>13</v>
      </c>
      <c r="D156">
        <v>22596.25</v>
      </c>
      <c r="E156">
        <v>22573.85</v>
      </c>
      <c r="F156">
        <v>22641.05</v>
      </c>
      <c r="G156">
        <v>22573.85</v>
      </c>
      <c r="H156" t="s">
        <v>16</v>
      </c>
      <c r="I156">
        <v>22.400000000001398</v>
      </c>
      <c r="J156">
        <v>44.800000000002903</v>
      </c>
      <c r="K156">
        <v>-22.400000000001398</v>
      </c>
      <c r="L156">
        <f>SUM($K$2:K156)</f>
        <v>153.70000000004237</v>
      </c>
      <c r="M156">
        <f>MAX($L$2:L156)</f>
        <v>460.05000000004452</v>
      </c>
      <c r="N156">
        <f t="shared" si="2"/>
        <v>306.35000000000218</v>
      </c>
    </row>
    <row r="157" spans="1:14" x14ac:dyDescent="0.35">
      <c r="A157" t="s">
        <v>307</v>
      </c>
      <c r="B157" t="s">
        <v>308</v>
      </c>
      <c r="C157" t="s">
        <v>32</v>
      </c>
      <c r="D157">
        <v>22568.5</v>
      </c>
      <c r="E157">
        <v>22595.8</v>
      </c>
      <c r="F157">
        <v>22513.9</v>
      </c>
      <c r="G157">
        <v>22513.9</v>
      </c>
      <c r="H157" t="s">
        <v>14</v>
      </c>
      <c r="I157">
        <v>27.299999999999201</v>
      </c>
      <c r="J157">
        <v>54.599999999998502</v>
      </c>
      <c r="K157">
        <v>54.599999999998502</v>
      </c>
      <c r="L157">
        <f>SUM($K$2:K157)</f>
        <v>208.30000000004088</v>
      </c>
      <c r="M157">
        <f>MAX($L$2:L157)</f>
        <v>460.05000000004452</v>
      </c>
      <c r="N157">
        <f t="shared" si="2"/>
        <v>251.75000000000364</v>
      </c>
    </row>
    <row r="158" spans="1:14" x14ac:dyDescent="0.35">
      <c r="A158" t="s">
        <v>309</v>
      </c>
      <c r="B158" t="s">
        <v>310</v>
      </c>
      <c r="C158" t="s">
        <v>32</v>
      </c>
      <c r="D158">
        <v>22015.25</v>
      </c>
      <c r="E158">
        <v>22035.35</v>
      </c>
      <c r="F158">
        <v>21975.05</v>
      </c>
      <c r="G158">
        <v>22035.35</v>
      </c>
      <c r="H158" t="s">
        <v>16</v>
      </c>
      <c r="I158">
        <v>20.099999999998499</v>
      </c>
      <c r="J158">
        <v>40.199999999996997</v>
      </c>
      <c r="K158">
        <v>-20.099999999998499</v>
      </c>
      <c r="L158">
        <f>SUM($K$2:K158)</f>
        <v>188.20000000004239</v>
      </c>
      <c r="M158">
        <f>MAX($L$2:L158)</f>
        <v>460.05000000004452</v>
      </c>
      <c r="N158">
        <f t="shared" si="2"/>
        <v>271.85000000000213</v>
      </c>
    </row>
    <row r="159" spans="1:14" x14ac:dyDescent="0.35">
      <c r="A159" t="s">
        <v>311</v>
      </c>
      <c r="B159" t="s">
        <v>312</v>
      </c>
      <c r="C159" t="s">
        <v>13</v>
      </c>
      <c r="D159">
        <v>22135.65</v>
      </c>
      <c r="E159">
        <v>22115.05</v>
      </c>
      <c r="F159">
        <v>22176.85</v>
      </c>
      <c r="G159">
        <v>22115.05</v>
      </c>
      <c r="H159" t="s">
        <v>16</v>
      </c>
      <c r="I159">
        <v>20.600000000002101</v>
      </c>
      <c r="J159">
        <v>41.200000000004302</v>
      </c>
      <c r="K159">
        <v>-20.600000000002101</v>
      </c>
      <c r="L159">
        <f>SUM($K$2:K159)</f>
        <v>167.6000000000403</v>
      </c>
      <c r="M159">
        <f>MAX($L$2:L159)</f>
        <v>460.05000000004452</v>
      </c>
      <c r="N159">
        <f t="shared" si="2"/>
        <v>292.45000000000425</v>
      </c>
    </row>
    <row r="160" spans="1:14" x14ac:dyDescent="0.35">
      <c r="A160" t="s">
        <v>313</v>
      </c>
      <c r="B160" t="s">
        <v>314</v>
      </c>
      <c r="C160" t="s">
        <v>32</v>
      </c>
      <c r="D160">
        <v>22039.45</v>
      </c>
      <c r="E160">
        <v>22078.95</v>
      </c>
      <c r="F160">
        <v>21960.45</v>
      </c>
      <c r="G160">
        <v>22078.95</v>
      </c>
      <c r="H160" t="s">
        <v>16</v>
      </c>
      <c r="I160">
        <v>39.5</v>
      </c>
      <c r="J160">
        <v>79</v>
      </c>
      <c r="K160">
        <v>-39.5</v>
      </c>
      <c r="L160">
        <f>SUM($K$2:K160)</f>
        <v>128.1000000000403</v>
      </c>
      <c r="M160">
        <f>MAX($L$2:L160)</f>
        <v>460.05000000004452</v>
      </c>
      <c r="N160">
        <f t="shared" si="2"/>
        <v>331.95000000000425</v>
      </c>
    </row>
    <row r="161" spans="1:14" x14ac:dyDescent="0.35">
      <c r="A161" t="s">
        <v>315</v>
      </c>
      <c r="B161" t="s">
        <v>316</v>
      </c>
      <c r="C161" t="s">
        <v>32</v>
      </c>
      <c r="D161">
        <v>22040.5</v>
      </c>
      <c r="E161">
        <v>22057</v>
      </c>
      <c r="F161">
        <v>22007.5</v>
      </c>
      <c r="G161">
        <v>22057</v>
      </c>
      <c r="H161" t="s">
        <v>16</v>
      </c>
      <c r="I161">
        <v>16.5</v>
      </c>
      <c r="J161">
        <v>33</v>
      </c>
      <c r="K161">
        <v>-16.5</v>
      </c>
      <c r="L161">
        <f>SUM($K$2:K161)</f>
        <v>111.6000000000403</v>
      </c>
      <c r="M161">
        <f>MAX($L$2:L161)</f>
        <v>460.05000000004452</v>
      </c>
      <c r="N161">
        <f t="shared" si="2"/>
        <v>348.45000000000425</v>
      </c>
    </row>
    <row r="162" spans="1:14" x14ac:dyDescent="0.35">
      <c r="A162" t="s">
        <v>317</v>
      </c>
      <c r="B162" t="s">
        <v>318</v>
      </c>
      <c r="C162" t="s">
        <v>13</v>
      </c>
      <c r="D162">
        <v>22133.55</v>
      </c>
      <c r="E162">
        <v>22067.8</v>
      </c>
      <c r="F162">
        <v>22265.05</v>
      </c>
      <c r="G162">
        <v>22265.05</v>
      </c>
      <c r="H162" t="s">
        <v>14</v>
      </c>
      <c r="I162">
        <v>65.75</v>
      </c>
      <c r="J162">
        <v>131.5</v>
      </c>
      <c r="K162">
        <v>131.5</v>
      </c>
      <c r="L162">
        <f>SUM($K$2:K162)</f>
        <v>243.1000000000403</v>
      </c>
      <c r="M162">
        <f>MAX($L$2:L162)</f>
        <v>460.05000000004452</v>
      </c>
      <c r="N162">
        <f t="shared" si="2"/>
        <v>216.95000000000422</v>
      </c>
    </row>
    <row r="163" spans="1:14" x14ac:dyDescent="0.35">
      <c r="A163" t="s">
        <v>319</v>
      </c>
      <c r="B163" t="s">
        <v>320</v>
      </c>
      <c r="C163" t="s">
        <v>13</v>
      </c>
      <c r="D163">
        <v>22236.6</v>
      </c>
      <c r="E163">
        <v>22211.1</v>
      </c>
      <c r="F163">
        <v>22287.599999999999</v>
      </c>
      <c r="G163">
        <v>22287.599999999999</v>
      </c>
      <c r="H163" t="s">
        <v>14</v>
      </c>
      <c r="I163">
        <v>25.5</v>
      </c>
      <c r="J163">
        <v>51</v>
      </c>
      <c r="K163">
        <v>51</v>
      </c>
      <c r="L163">
        <f>SUM($K$2:K163)</f>
        <v>294.10000000004027</v>
      </c>
      <c r="M163">
        <f>MAX($L$2:L163)</f>
        <v>460.05000000004452</v>
      </c>
      <c r="N163">
        <f t="shared" si="2"/>
        <v>165.95000000000425</v>
      </c>
    </row>
    <row r="164" spans="1:14" x14ac:dyDescent="0.35">
      <c r="A164" t="s">
        <v>321</v>
      </c>
      <c r="B164" t="s">
        <v>322</v>
      </c>
      <c r="C164" t="s">
        <v>13</v>
      </c>
      <c r="D164">
        <v>22368.55</v>
      </c>
      <c r="E164">
        <v>22350.799999999999</v>
      </c>
      <c r="F164">
        <v>22404.05</v>
      </c>
      <c r="G164">
        <v>22350.799999999999</v>
      </c>
      <c r="H164" t="s">
        <v>16</v>
      </c>
      <c r="I164">
        <v>17.75</v>
      </c>
      <c r="J164">
        <v>35.5</v>
      </c>
      <c r="K164">
        <v>-17.75</v>
      </c>
      <c r="L164">
        <f>SUM($K$2:K164)</f>
        <v>276.35000000004027</v>
      </c>
      <c r="M164">
        <f>MAX($L$2:L164)</f>
        <v>460.05000000004452</v>
      </c>
      <c r="N164">
        <f t="shared" si="2"/>
        <v>183.70000000000425</v>
      </c>
    </row>
    <row r="165" spans="1:14" x14ac:dyDescent="0.35">
      <c r="A165" t="s">
        <v>323</v>
      </c>
      <c r="B165" t="s">
        <v>324</v>
      </c>
      <c r="C165" t="s">
        <v>32</v>
      </c>
      <c r="D165">
        <v>22295.9</v>
      </c>
      <c r="E165">
        <v>22326.7</v>
      </c>
      <c r="F165">
        <v>22234.3</v>
      </c>
      <c r="G165">
        <v>22326.7</v>
      </c>
      <c r="H165" t="s">
        <v>16</v>
      </c>
      <c r="I165">
        <v>30.799999999999201</v>
      </c>
      <c r="J165">
        <v>61.599999999998502</v>
      </c>
      <c r="K165">
        <v>-30.799999999999201</v>
      </c>
      <c r="L165">
        <f>SUM($K$2:K165)</f>
        <v>245.55000000004105</v>
      </c>
      <c r="M165">
        <f>MAX($L$2:L165)</f>
        <v>460.05000000004452</v>
      </c>
      <c r="N165">
        <f t="shared" si="2"/>
        <v>214.50000000000347</v>
      </c>
    </row>
    <row r="166" spans="1:14" x14ac:dyDescent="0.35">
      <c r="A166" t="s">
        <v>325</v>
      </c>
      <c r="B166" t="s">
        <v>326</v>
      </c>
      <c r="C166" t="s">
        <v>32</v>
      </c>
      <c r="D166">
        <v>22253.25</v>
      </c>
      <c r="E166">
        <v>22329.5</v>
      </c>
      <c r="F166">
        <v>22100.75</v>
      </c>
      <c r="G166">
        <v>22329.5</v>
      </c>
      <c r="H166" t="s">
        <v>16</v>
      </c>
      <c r="I166">
        <v>76.25</v>
      </c>
      <c r="J166">
        <v>152.5</v>
      </c>
      <c r="K166">
        <v>-76.25</v>
      </c>
      <c r="L166">
        <f>SUM($K$2:K166)</f>
        <v>169.30000000004105</v>
      </c>
      <c r="M166">
        <f>MAX($L$2:L166)</f>
        <v>460.05000000004452</v>
      </c>
      <c r="N166">
        <f t="shared" si="2"/>
        <v>290.75000000000347</v>
      </c>
    </row>
    <row r="167" spans="1:14" x14ac:dyDescent="0.35">
      <c r="A167" t="s">
        <v>327</v>
      </c>
      <c r="B167" t="s">
        <v>328</v>
      </c>
      <c r="C167" t="s">
        <v>13</v>
      </c>
      <c r="D167">
        <v>22358.65</v>
      </c>
      <c r="E167">
        <v>22322.95</v>
      </c>
      <c r="F167">
        <v>22430.05</v>
      </c>
      <c r="G167">
        <v>22430.05</v>
      </c>
      <c r="H167" t="s">
        <v>14</v>
      </c>
      <c r="I167">
        <v>35.700000000000699</v>
      </c>
      <c r="J167">
        <v>71.400000000001398</v>
      </c>
      <c r="K167">
        <v>71.400000000001398</v>
      </c>
      <c r="L167">
        <f>SUM($K$2:K167)</f>
        <v>240.70000000004245</v>
      </c>
      <c r="M167">
        <f>MAX($L$2:L167)</f>
        <v>460.05000000004452</v>
      </c>
      <c r="N167">
        <f t="shared" si="2"/>
        <v>219.35000000000207</v>
      </c>
    </row>
    <row r="168" spans="1:14" x14ac:dyDescent="0.35">
      <c r="A168" t="s">
        <v>329</v>
      </c>
      <c r="B168" t="s">
        <v>330</v>
      </c>
      <c r="C168" t="s">
        <v>13</v>
      </c>
      <c r="D168">
        <v>22352.6</v>
      </c>
      <c r="E168">
        <v>22319.95</v>
      </c>
      <c r="F168">
        <v>22417.8999999999</v>
      </c>
      <c r="G168">
        <v>22417.8999999999</v>
      </c>
      <c r="H168" t="s">
        <v>14</v>
      </c>
      <c r="I168">
        <v>32.649999999997803</v>
      </c>
      <c r="J168">
        <v>65.299999999995606</v>
      </c>
      <c r="K168">
        <v>65.299999999995606</v>
      </c>
      <c r="L168">
        <f>SUM($K$2:K168)</f>
        <v>306.00000000003809</v>
      </c>
      <c r="M168">
        <f>MAX($L$2:L168)</f>
        <v>460.05000000004452</v>
      </c>
      <c r="N168">
        <f t="shared" si="2"/>
        <v>154.05000000000643</v>
      </c>
    </row>
    <row r="169" spans="1:14" x14ac:dyDescent="0.35">
      <c r="A169" t="s">
        <v>330</v>
      </c>
      <c r="B169" t="s">
        <v>331</v>
      </c>
      <c r="C169" t="s">
        <v>13</v>
      </c>
      <c r="D169">
        <v>22419.3</v>
      </c>
      <c r="E169">
        <v>22399.200000000001</v>
      </c>
      <c r="F169">
        <v>22459.499999999902</v>
      </c>
      <c r="G169">
        <v>22399.200000000001</v>
      </c>
      <c r="H169" t="s">
        <v>16</v>
      </c>
      <c r="I169">
        <v>20.099999999998499</v>
      </c>
      <c r="J169">
        <v>40.199999999996997</v>
      </c>
      <c r="K169">
        <v>-20.099999999998499</v>
      </c>
      <c r="L169">
        <f>SUM($K$2:K169)</f>
        <v>285.9000000000396</v>
      </c>
      <c r="M169">
        <f>MAX($L$2:L169)</f>
        <v>460.05000000004452</v>
      </c>
      <c r="N169">
        <f t="shared" si="2"/>
        <v>174.15000000000492</v>
      </c>
    </row>
    <row r="170" spans="1:14" x14ac:dyDescent="0.35">
      <c r="A170" t="s">
        <v>332</v>
      </c>
      <c r="B170" t="s">
        <v>333</v>
      </c>
      <c r="C170" t="s">
        <v>13</v>
      </c>
      <c r="D170">
        <v>22560.55</v>
      </c>
      <c r="E170">
        <v>22464.75</v>
      </c>
      <c r="F170">
        <v>22752.1499999999</v>
      </c>
      <c r="G170">
        <v>22536.95</v>
      </c>
      <c r="H170" t="s">
        <v>23</v>
      </c>
      <c r="I170">
        <v>95.799999999999201</v>
      </c>
      <c r="J170">
        <v>191.599999999998</v>
      </c>
      <c r="K170">
        <v>-23.599999999998499</v>
      </c>
      <c r="L170">
        <f>SUM($K$2:K170)</f>
        <v>262.30000000004111</v>
      </c>
      <c r="M170">
        <f>MAX($L$2:L170)</f>
        <v>460.05000000004452</v>
      </c>
      <c r="N170">
        <f t="shared" si="2"/>
        <v>197.75000000000341</v>
      </c>
    </row>
    <row r="171" spans="1:14" x14ac:dyDescent="0.35">
      <c r="A171" t="s">
        <v>334</v>
      </c>
      <c r="B171" t="s">
        <v>335</v>
      </c>
      <c r="C171" t="s">
        <v>13</v>
      </c>
      <c r="D171">
        <v>22597.3</v>
      </c>
      <c r="E171">
        <v>22582.15</v>
      </c>
      <c r="F171">
        <v>22627.5999999999</v>
      </c>
      <c r="G171">
        <v>22627.5999999999</v>
      </c>
      <c r="H171" t="s">
        <v>14</v>
      </c>
      <c r="I171">
        <v>15.149999999997799</v>
      </c>
      <c r="J171">
        <v>30.299999999995599</v>
      </c>
      <c r="K171">
        <v>30.299999999995599</v>
      </c>
      <c r="L171">
        <f>SUM($K$2:K171)</f>
        <v>292.60000000003669</v>
      </c>
      <c r="M171">
        <f>MAX($L$2:L171)</f>
        <v>460.05000000004452</v>
      </c>
      <c r="N171">
        <f t="shared" si="2"/>
        <v>167.45000000000783</v>
      </c>
    </row>
    <row r="172" spans="1:14" x14ac:dyDescent="0.35">
      <c r="A172" t="s">
        <v>336</v>
      </c>
      <c r="B172" t="s">
        <v>337</v>
      </c>
      <c r="C172" t="s">
        <v>32</v>
      </c>
      <c r="D172">
        <v>22565.200000000001</v>
      </c>
      <c r="E172">
        <v>22580.15</v>
      </c>
      <c r="F172">
        <v>22535.3</v>
      </c>
      <c r="G172">
        <v>22535.3</v>
      </c>
      <c r="H172" t="s">
        <v>14</v>
      </c>
      <c r="I172">
        <v>14.950000000000699</v>
      </c>
      <c r="J172">
        <v>29.900000000001398</v>
      </c>
      <c r="K172">
        <v>29.900000000001398</v>
      </c>
      <c r="L172">
        <f>SUM($K$2:K172)</f>
        <v>322.50000000003809</v>
      </c>
      <c r="M172">
        <f>MAX($L$2:L172)</f>
        <v>460.05000000004452</v>
      </c>
      <c r="N172">
        <f t="shared" si="2"/>
        <v>137.55000000000643</v>
      </c>
    </row>
    <row r="173" spans="1:14" x14ac:dyDescent="0.35">
      <c r="A173" t="s">
        <v>338</v>
      </c>
      <c r="B173" t="s">
        <v>339</v>
      </c>
      <c r="C173" t="s">
        <v>32</v>
      </c>
      <c r="D173">
        <v>22510.15</v>
      </c>
      <c r="E173">
        <v>22549.1</v>
      </c>
      <c r="F173">
        <v>22432.25</v>
      </c>
      <c r="G173">
        <v>22432.25</v>
      </c>
      <c r="H173" t="s">
        <v>14</v>
      </c>
      <c r="I173">
        <v>38.949999999996997</v>
      </c>
      <c r="J173">
        <v>77.899999999994094</v>
      </c>
      <c r="K173">
        <v>77.899999999994094</v>
      </c>
      <c r="L173">
        <f>SUM($K$2:K173)</f>
        <v>400.40000000003215</v>
      </c>
      <c r="M173">
        <f>MAX($L$2:L173)</f>
        <v>460.05000000004452</v>
      </c>
      <c r="N173">
        <f t="shared" si="2"/>
        <v>59.650000000012369</v>
      </c>
    </row>
    <row r="174" spans="1:14" x14ac:dyDescent="0.35">
      <c r="A174" t="s">
        <v>340</v>
      </c>
      <c r="B174" t="s">
        <v>341</v>
      </c>
      <c r="C174" t="s">
        <v>32</v>
      </c>
      <c r="D174">
        <v>22382.7</v>
      </c>
      <c r="E174">
        <v>22412.1</v>
      </c>
      <c r="F174">
        <v>22323.9</v>
      </c>
      <c r="G174">
        <v>22412.1</v>
      </c>
      <c r="H174" t="s">
        <v>16</v>
      </c>
      <c r="I174">
        <v>29.399999999997799</v>
      </c>
      <c r="J174">
        <v>58.799999999995599</v>
      </c>
      <c r="K174">
        <v>-29.399999999997799</v>
      </c>
      <c r="L174">
        <f>SUM($K$2:K174)</f>
        <v>371.00000000003433</v>
      </c>
      <c r="M174">
        <f>MAX($L$2:L174)</f>
        <v>460.05000000004452</v>
      </c>
      <c r="N174">
        <f t="shared" si="2"/>
        <v>89.050000000010186</v>
      </c>
    </row>
    <row r="175" spans="1:14" x14ac:dyDescent="0.35">
      <c r="A175" t="s">
        <v>342</v>
      </c>
      <c r="B175" t="s">
        <v>343</v>
      </c>
      <c r="C175" t="s">
        <v>13</v>
      </c>
      <c r="D175">
        <v>22479.55</v>
      </c>
      <c r="E175">
        <v>22446.85</v>
      </c>
      <c r="F175">
        <v>22544.95</v>
      </c>
      <c r="G175">
        <v>22446.85</v>
      </c>
      <c r="H175" t="s">
        <v>16</v>
      </c>
      <c r="I175">
        <v>32.700000000000699</v>
      </c>
      <c r="J175">
        <v>65.400000000001398</v>
      </c>
      <c r="K175">
        <v>-32.700000000000699</v>
      </c>
      <c r="L175">
        <f>SUM($K$2:K175)</f>
        <v>338.30000000003361</v>
      </c>
      <c r="M175">
        <f>MAX($L$2:L175)</f>
        <v>460.05000000004452</v>
      </c>
      <c r="N175">
        <f t="shared" si="2"/>
        <v>121.75000000001091</v>
      </c>
    </row>
    <row r="176" spans="1:14" x14ac:dyDescent="0.35">
      <c r="A176" t="s">
        <v>344</v>
      </c>
      <c r="B176" t="s">
        <v>345</v>
      </c>
      <c r="C176" t="s">
        <v>32</v>
      </c>
      <c r="D176">
        <v>22430.1</v>
      </c>
      <c r="E176">
        <v>22475.35</v>
      </c>
      <c r="F176">
        <v>22339.599999999999</v>
      </c>
      <c r="G176">
        <v>22339.599999999999</v>
      </c>
      <c r="H176" t="s">
        <v>14</v>
      </c>
      <c r="I176">
        <v>45.25</v>
      </c>
      <c r="J176">
        <v>90.5</v>
      </c>
      <c r="K176">
        <v>90.5</v>
      </c>
      <c r="L176">
        <f>SUM($K$2:K176)</f>
        <v>428.80000000003361</v>
      </c>
      <c r="M176">
        <f>MAX($L$2:L176)</f>
        <v>460.05000000004452</v>
      </c>
      <c r="N176">
        <f t="shared" si="2"/>
        <v>31.250000000010914</v>
      </c>
    </row>
    <row r="177" spans="1:14" x14ac:dyDescent="0.35">
      <c r="A177" t="s">
        <v>346</v>
      </c>
      <c r="B177" t="s">
        <v>347</v>
      </c>
      <c r="C177" t="s">
        <v>32</v>
      </c>
      <c r="D177">
        <v>22355.85</v>
      </c>
      <c r="E177">
        <v>22373.4</v>
      </c>
      <c r="F177">
        <v>22320.749999999902</v>
      </c>
      <c r="G177">
        <v>22373.4</v>
      </c>
      <c r="H177" t="s">
        <v>16</v>
      </c>
      <c r="I177">
        <v>17.5500000000029</v>
      </c>
      <c r="J177">
        <v>35.100000000005799</v>
      </c>
      <c r="K177">
        <v>-17.5500000000029</v>
      </c>
      <c r="L177">
        <f>SUM($K$2:K177)</f>
        <v>411.2500000000307</v>
      </c>
      <c r="M177">
        <f>MAX($L$2:L177)</f>
        <v>460.05000000004452</v>
      </c>
      <c r="N177">
        <f t="shared" si="2"/>
        <v>48.800000000013824</v>
      </c>
    </row>
    <row r="178" spans="1:14" x14ac:dyDescent="0.35">
      <c r="A178" t="s">
        <v>348</v>
      </c>
      <c r="B178" t="s">
        <v>349</v>
      </c>
      <c r="C178" t="s">
        <v>32</v>
      </c>
      <c r="D178">
        <v>22364.65</v>
      </c>
      <c r="E178">
        <v>22384.1</v>
      </c>
      <c r="F178">
        <v>22325.75</v>
      </c>
      <c r="G178">
        <v>22384.1</v>
      </c>
      <c r="H178" t="s">
        <v>16</v>
      </c>
      <c r="I178">
        <v>19.449999999997001</v>
      </c>
      <c r="J178">
        <v>38.899999999994101</v>
      </c>
      <c r="K178">
        <v>-19.449999999997001</v>
      </c>
      <c r="L178">
        <f>SUM($K$2:K178)</f>
        <v>391.80000000003372</v>
      </c>
      <c r="M178">
        <f>MAX($L$2:L178)</f>
        <v>460.05000000004452</v>
      </c>
      <c r="N178">
        <f t="shared" si="2"/>
        <v>68.2500000000108</v>
      </c>
    </row>
    <row r="179" spans="1:14" x14ac:dyDescent="0.35">
      <c r="A179" t="s">
        <v>350</v>
      </c>
      <c r="B179" t="s">
        <v>351</v>
      </c>
      <c r="C179" t="s">
        <v>13</v>
      </c>
      <c r="D179">
        <v>22494.7</v>
      </c>
      <c r="E179">
        <v>22465.15</v>
      </c>
      <c r="F179">
        <v>22553.8</v>
      </c>
      <c r="G179">
        <v>22553.8</v>
      </c>
      <c r="H179" t="s">
        <v>14</v>
      </c>
      <c r="I179">
        <v>29.549999999999201</v>
      </c>
      <c r="J179">
        <v>59.099999999998502</v>
      </c>
      <c r="K179">
        <v>59.099999999998502</v>
      </c>
      <c r="L179">
        <f>SUM($K$2:K179)</f>
        <v>450.90000000003221</v>
      </c>
      <c r="M179">
        <f>MAX($L$2:L179)</f>
        <v>460.05000000004452</v>
      </c>
      <c r="N179">
        <f t="shared" si="2"/>
        <v>9.1500000000123123</v>
      </c>
    </row>
    <row r="180" spans="1:14" x14ac:dyDescent="0.35">
      <c r="A180" t="s">
        <v>352</v>
      </c>
      <c r="B180" t="s">
        <v>353</v>
      </c>
      <c r="C180" t="s">
        <v>32</v>
      </c>
      <c r="D180">
        <v>22432.65</v>
      </c>
      <c r="E180">
        <v>22480.85</v>
      </c>
      <c r="F180">
        <v>22336.25</v>
      </c>
      <c r="G180">
        <v>22383.3</v>
      </c>
      <c r="H180" t="s">
        <v>23</v>
      </c>
      <c r="I180">
        <v>48.199999999996997</v>
      </c>
      <c r="J180">
        <v>96.399999999994094</v>
      </c>
      <c r="K180">
        <v>49.350000000002098</v>
      </c>
      <c r="L180">
        <f>SUM($K$2:K180)</f>
        <v>500.25000000003433</v>
      </c>
      <c r="M180">
        <f>MAX($L$2:L180)</f>
        <v>500.25000000003433</v>
      </c>
      <c r="N180">
        <f t="shared" si="2"/>
        <v>0</v>
      </c>
    </row>
    <row r="181" spans="1:14" x14ac:dyDescent="0.35">
      <c r="A181" t="s">
        <v>354</v>
      </c>
      <c r="B181" t="s">
        <v>355</v>
      </c>
      <c r="C181" t="s">
        <v>13</v>
      </c>
      <c r="D181">
        <v>22522.55</v>
      </c>
      <c r="E181">
        <v>22497.95</v>
      </c>
      <c r="F181">
        <v>22571.749999999902</v>
      </c>
      <c r="G181">
        <v>22497.95</v>
      </c>
      <c r="H181" t="s">
        <v>16</v>
      </c>
      <c r="I181">
        <v>24.599999999998499</v>
      </c>
      <c r="J181">
        <v>49.199999999996997</v>
      </c>
      <c r="K181">
        <v>-24.599999999998499</v>
      </c>
      <c r="L181">
        <f>SUM($K$2:K181)</f>
        <v>475.65000000003585</v>
      </c>
      <c r="M181">
        <f>MAX($L$2:L181)</f>
        <v>500.25000000003433</v>
      </c>
      <c r="N181">
        <f t="shared" si="2"/>
        <v>24.599999999998488</v>
      </c>
    </row>
    <row r="182" spans="1:14" x14ac:dyDescent="0.35">
      <c r="A182" t="s">
        <v>356</v>
      </c>
      <c r="B182" t="s">
        <v>357</v>
      </c>
      <c r="C182" t="s">
        <v>13</v>
      </c>
      <c r="D182">
        <v>22505.75</v>
      </c>
      <c r="E182">
        <v>22483.3</v>
      </c>
      <c r="F182">
        <v>22550.65</v>
      </c>
      <c r="G182">
        <v>22483.3</v>
      </c>
      <c r="H182" t="s">
        <v>16</v>
      </c>
      <c r="I182">
        <v>22.450000000000699</v>
      </c>
      <c r="J182">
        <v>44.900000000001398</v>
      </c>
      <c r="K182">
        <v>-22.450000000000699</v>
      </c>
      <c r="L182">
        <f>SUM($K$2:K182)</f>
        <v>453.20000000003517</v>
      </c>
      <c r="M182">
        <f>MAX($L$2:L182)</f>
        <v>500.25000000003433</v>
      </c>
      <c r="N182">
        <f t="shared" si="2"/>
        <v>47.049999999999159</v>
      </c>
    </row>
    <row r="183" spans="1:14" x14ac:dyDescent="0.35">
      <c r="A183" t="s">
        <v>358</v>
      </c>
      <c r="B183" t="s">
        <v>359</v>
      </c>
      <c r="C183" t="s">
        <v>13</v>
      </c>
      <c r="D183">
        <v>22770.1</v>
      </c>
      <c r="E183">
        <v>22753.25</v>
      </c>
      <c r="F183">
        <v>22803.799999999901</v>
      </c>
      <c r="G183">
        <v>22753.25</v>
      </c>
      <c r="H183" t="s">
        <v>16</v>
      </c>
      <c r="I183">
        <v>16.849999999998499</v>
      </c>
      <c r="J183">
        <v>33.699999999996997</v>
      </c>
      <c r="K183">
        <v>-16.849999999998499</v>
      </c>
      <c r="L183">
        <f>SUM($K$2:K183)</f>
        <v>436.35000000003669</v>
      </c>
      <c r="M183">
        <f>MAX($L$2:L183)</f>
        <v>500.25000000003433</v>
      </c>
      <c r="N183">
        <f t="shared" si="2"/>
        <v>63.899999999997647</v>
      </c>
    </row>
    <row r="184" spans="1:14" x14ac:dyDescent="0.35">
      <c r="A184" t="s">
        <v>360</v>
      </c>
      <c r="B184" t="s">
        <v>361</v>
      </c>
      <c r="C184" t="s">
        <v>13</v>
      </c>
      <c r="D184">
        <v>22782</v>
      </c>
      <c r="E184">
        <v>22758.6</v>
      </c>
      <c r="F184">
        <v>22828.799999999999</v>
      </c>
      <c r="G184">
        <v>22828.799999999999</v>
      </c>
      <c r="H184" t="s">
        <v>14</v>
      </c>
      <c r="I184">
        <v>23.400000000001398</v>
      </c>
      <c r="J184">
        <v>46.800000000002903</v>
      </c>
      <c r="K184">
        <v>46.800000000002903</v>
      </c>
      <c r="L184">
        <f>SUM($K$2:K184)</f>
        <v>483.1500000000396</v>
      </c>
      <c r="M184">
        <f>MAX($L$2:L184)</f>
        <v>500.25000000003433</v>
      </c>
      <c r="N184">
        <f t="shared" si="2"/>
        <v>17.099999999994736</v>
      </c>
    </row>
    <row r="185" spans="1:14" x14ac:dyDescent="0.35">
      <c r="A185" t="s">
        <v>362</v>
      </c>
      <c r="B185" t="s">
        <v>363</v>
      </c>
      <c r="C185" t="s">
        <v>13</v>
      </c>
      <c r="D185">
        <v>22848.95</v>
      </c>
      <c r="E185">
        <v>22807.95</v>
      </c>
      <c r="F185">
        <v>22930.95</v>
      </c>
      <c r="G185">
        <v>22930.95</v>
      </c>
      <c r="H185" t="s">
        <v>14</v>
      </c>
      <c r="I185">
        <v>41</v>
      </c>
      <c r="J185">
        <v>82</v>
      </c>
      <c r="K185">
        <v>82</v>
      </c>
      <c r="L185">
        <f>SUM($K$2:K185)</f>
        <v>565.15000000003965</v>
      </c>
      <c r="M185">
        <f>MAX($L$2:L185)</f>
        <v>565.15000000003965</v>
      </c>
      <c r="N185">
        <f t="shared" si="2"/>
        <v>0</v>
      </c>
    </row>
    <row r="186" spans="1:14" x14ac:dyDescent="0.35">
      <c r="A186" t="s">
        <v>363</v>
      </c>
      <c r="B186" t="s">
        <v>364</v>
      </c>
      <c r="C186" t="s">
        <v>13</v>
      </c>
      <c r="D186">
        <v>22931.25</v>
      </c>
      <c r="E186">
        <v>22906.5</v>
      </c>
      <c r="F186">
        <v>22980.75</v>
      </c>
      <c r="G186">
        <v>22906.5</v>
      </c>
      <c r="H186" t="s">
        <v>16</v>
      </c>
      <c r="I186">
        <v>24.75</v>
      </c>
      <c r="J186">
        <v>49.5</v>
      </c>
      <c r="K186">
        <v>-24.75</v>
      </c>
      <c r="L186">
        <f>SUM($K$2:K186)</f>
        <v>540.40000000003965</v>
      </c>
      <c r="M186">
        <f>MAX($L$2:L186)</f>
        <v>565.15000000003965</v>
      </c>
      <c r="N186">
        <f t="shared" si="2"/>
        <v>24.75</v>
      </c>
    </row>
    <row r="187" spans="1:14" x14ac:dyDescent="0.35">
      <c r="A187" t="s">
        <v>365</v>
      </c>
      <c r="B187" t="s">
        <v>366</v>
      </c>
      <c r="C187" t="s">
        <v>13</v>
      </c>
      <c r="D187">
        <v>22925.15</v>
      </c>
      <c r="E187">
        <v>22898.55</v>
      </c>
      <c r="F187">
        <v>22978.35</v>
      </c>
      <c r="G187">
        <v>22898.55</v>
      </c>
      <c r="H187" t="s">
        <v>16</v>
      </c>
      <c r="I187">
        <v>26.600000000002101</v>
      </c>
      <c r="J187">
        <v>53.200000000004302</v>
      </c>
      <c r="K187">
        <v>-26.600000000002101</v>
      </c>
      <c r="L187">
        <f>SUM($K$2:K187)</f>
        <v>513.80000000003758</v>
      </c>
      <c r="M187">
        <f>MAX($L$2:L187)</f>
        <v>565.15000000003965</v>
      </c>
      <c r="N187">
        <f t="shared" si="2"/>
        <v>51.350000000002069</v>
      </c>
    </row>
    <row r="188" spans="1:14" x14ac:dyDescent="0.35">
      <c r="A188" t="s">
        <v>367</v>
      </c>
      <c r="B188" t="s">
        <v>368</v>
      </c>
      <c r="C188" t="s">
        <v>13</v>
      </c>
      <c r="D188">
        <v>23040.3</v>
      </c>
      <c r="E188">
        <v>23013.25</v>
      </c>
      <c r="F188">
        <v>23094.3999999999</v>
      </c>
      <c r="G188">
        <v>23013.25</v>
      </c>
      <c r="H188" t="s">
        <v>16</v>
      </c>
      <c r="I188">
        <v>27.049999999999201</v>
      </c>
      <c r="J188">
        <v>54.099999999998502</v>
      </c>
      <c r="K188">
        <v>-27.049999999999201</v>
      </c>
      <c r="L188">
        <f>SUM($K$2:K188)</f>
        <v>486.75000000003837</v>
      </c>
      <c r="M188">
        <f>MAX($L$2:L188)</f>
        <v>565.15000000003965</v>
      </c>
      <c r="N188">
        <f t="shared" si="2"/>
        <v>78.400000000001285</v>
      </c>
    </row>
    <row r="189" spans="1:14" x14ac:dyDescent="0.35">
      <c r="A189" t="s">
        <v>369</v>
      </c>
      <c r="B189" t="s">
        <v>370</v>
      </c>
      <c r="C189" t="s">
        <v>13</v>
      </c>
      <c r="D189">
        <v>23024.15</v>
      </c>
      <c r="E189">
        <v>22982.05</v>
      </c>
      <c r="F189">
        <v>23108.35</v>
      </c>
      <c r="G189">
        <v>23108.35</v>
      </c>
      <c r="H189" t="s">
        <v>14</v>
      </c>
      <c r="I189">
        <v>42.100000000002098</v>
      </c>
      <c r="J189">
        <v>84.200000000004295</v>
      </c>
      <c r="K189">
        <v>84.200000000004295</v>
      </c>
      <c r="L189">
        <f>SUM($K$2:K189)</f>
        <v>570.95000000004268</v>
      </c>
      <c r="M189">
        <f>MAX($L$2:L189)</f>
        <v>570.95000000004268</v>
      </c>
      <c r="N189">
        <f t="shared" si="2"/>
        <v>0</v>
      </c>
    </row>
    <row r="190" spans="1:14" x14ac:dyDescent="0.35">
      <c r="A190" t="s">
        <v>371</v>
      </c>
      <c r="B190" t="s">
        <v>372</v>
      </c>
      <c r="C190" t="s">
        <v>13</v>
      </c>
      <c r="D190">
        <v>23113.25</v>
      </c>
      <c r="E190">
        <v>23098.15</v>
      </c>
      <c r="F190">
        <v>23143.449999999899</v>
      </c>
      <c r="G190">
        <v>23143.449999999899</v>
      </c>
      <c r="H190" t="s">
        <v>14</v>
      </c>
      <c r="I190">
        <v>15.0999999999985</v>
      </c>
      <c r="J190">
        <v>30.199999999997001</v>
      </c>
      <c r="K190">
        <v>30.199999999997001</v>
      </c>
      <c r="L190">
        <f>SUM($K$2:K190)</f>
        <v>601.15000000003965</v>
      </c>
      <c r="M190">
        <f>MAX($L$2:L190)</f>
        <v>601.15000000003965</v>
      </c>
      <c r="N190">
        <f t="shared" si="2"/>
        <v>0</v>
      </c>
    </row>
    <row r="191" spans="1:14" x14ac:dyDescent="0.35">
      <c r="A191" t="s">
        <v>373</v>
      </c>
      <c r="B191" t="s">
        <v>374</v>
      </c>
      <c r="C191" t="s">
        <v>13</v>
      </c>
      <c r="D191">
        <v>23199.15</v>
      </c>
      <c r="E191">
        <v>23177.45</v>
      </c>
      <c r="F191">
        <v>23242.55</v>
      </c>
      <c r="G191">
        <v>23177.45</v>
      </c>
      <c r="H191" t="s">
        <v>16</v>
      </c>
      <c r="I191">
        <v>21.700000000000699</v>
      </c>
      <c r="J191">
        <v>43.400000000001398</v>
      </c>
      <c r="K191">
        <v>-21.700000000000699</v>
      </c>
      <c r="L191">
        <f>SUM($K$2:K191)</f>
        <v>579.45000000003893</v>
      </c>
      <c r="M191">
        <f>MAX($L$2:L191)</f>
        <v>601.15000000003965</v>
      </c>
      <c r="N191">
        <f t="shared" si="2"/>
        <v>21.700000000000728</v>
      </c>
    </row>
    <row r="192" spans="1:14" x14ac:dyDescent="0.35">
      <c r="A192" t="s">
        <v>375</v>
      </c>
      <c r="B192" t="s">
        <v>376</v>
      </c>
      <c r="C192" t="s">
        <v>13</v>
      </c>
      <c r="D192">
        <v>23299.45</v>
      </c>
      <c r="E192">
        <v>23262.25</v>
      </c>
      <c r="F192">
        <v>23373.85</v>
      </c>
      <c r="G192">
        <v>23373.85</v>
      </c>
      <c r="H192" t="s">
        <v>14</v>
      </c>
      <c r="I192">
        <v>37.200000000000699</v>
      </c>
      <c r="J192">
        <v>74.400000000001398</v>
      </c>
      <c r="K192">
        <v>74.400000000001398</v>
      </c>
      <c r="L192">
        <f>SUM($K$2:K192)</f>
        <v>653.85000000004038</v>
      </c>
      <c r="M192">
        <f>MAX($L$2:L192)</f>
        <v>653.85000000004038</v>
      </c>
      <c r="N192">
        <f t="shared" si="2"/>
        <v>0</v>
      </c>
    </row>
    <row r="193" spans="1:14" x14ac:dyDescent="0.35">
      <c r="A193" t="s">
        <v>376</v>
      </c>
      <c r="B193" t="s">
        <v>377</v>
      </c>
      <c r="C193" t="s">
        <v>13</v>
      </c>
      <c r="D193">
        <v>23378.3</v>
      </c>
      <c r="E193">
        <v>23357.1</v>
      </c>
      <c r="F193">
        <v>23420.7</v>
      </c>
      <c r="G193">
        <v>23357.1</v>
      </c>
      <c r="H193" t="s">
        <v>16</v>
      </c>
      <c r="I193">
        <v>21.200000000000699</v>
      </c>
      <c r="J193">
        <v>42.400000000001398</v>
      </c>
      <c r="K193">
        <v>-21.200000000000699</v>
      </c>
      <c r="L193">
        <f>SUM($K$2:K193)</f>
        <v>632.65000000003965</v>
      </c>
      <c r="M193">
        <f>MAX($L$2:L193)</f>
        <v>653.85000000004038</v>
      </c>
      <c r="N193">
        <f t="shared" si="2"/>
        <v>21.200000000000728</v>
      </c>
    </row>
    <row r="194" spans="1:14" x14ac:dyDescent="0.35">
      <c r="A194" t="s">
        <v>378</v>
      </c>
      <c r="B194" t="s">
        <v>379</v>
      </c>
      <c r="C194" t="s">
        <v>13</v>
      </c>
      <c r="D194">
        <v>23472.9</v>
      </c>
      <c r="E194">
        <v>23433.5</v>
      </c>
      <c r="F194">
        <v>23551.7</v>
      </c>
      <c r="G194">
        <v>23551.7</v>
      </c>
      <c r="H194" t="s">
        <v>14</v>
      </c>
      <c r="I194">
        <v>39.400000000001398</v>
      </c>
      <c r="J194">
        <v>78.800000000002896</v>
      </c>
      <c r="K194">
        <v>78.800000000002896</v>
      </c>
      <c r="L194">
        <f>SUM($K$2:K194)</f>
        <v>711.45000000004256</v>
      </c>
      <c r="M194">
        <f>MAX($L$2:L194)</f>
        <v>711.45000000004256</v>
      </c>
      <c r="N194">
        <f t="shared" ref="N194:N257" si="3">M194-L194</f>
        <v>0</v>
      </c>
    </row>
    <row r="195" spans="1:14" x14ac:dyDescent="0.35">
      <c r="A195" t="s">
        <v>380</v>
      </c>
      <c r="B195" t="s">
        <v>381</v>
      </c>
      <c r="C195" t="s">
        <v>13</v>
      </c>
      <c r="D195">
        <v>23621.35</v>
      </c>
      <c r="E195">
        <v>23606.65</v>
      </c>
      <c r="F195">
        <v>23650.749999999902</v>
      </c>
      <c r="G195">
        <v>23650.749999999902</v>
      </c>
      <c r="H195" t="s">
        <v>14</v>
      </c>
      <c r="I195">
        <v>14.699999999997001</v>
      </c>
      <c r="J195">
        <v>29.399999999994101</v>
      </c>
      <c r="K195">
        <v>29.399999999994101</v>
      </c>
      <c r="L195">
        <f>SUM($K$2:K195)</f>
        <v>740.85000000003663</v>
      </c>
      <c r="M195">
        <f>MAX($L$2:L195)</f>
        <v>740.85000000003663</v>
      </c>
      <c r="N195">
        <f t="shared" si="3"/>
        <v>0</v>
      </c>
    </row>
    <row r="196" spans="1:14" x14ac:dyDescent="0.35">
      <c r="A196" t="s">
        <v>382</v>
      </c>
      <c r="B196" t="s">
        <v>383</v>
      </c>
      <c r="C196" t="s">
        <v>13</v>
      </c>
      <c r="D196">
        <v>23654.799999999999</v>
      </c>
      <c r="E196">
        <v>23637.35</v>
      </c>
      <c r="F196">
        <v>23689.7</v>
      </c>
      <c r="G196">
        <v>23689.7</v>
      </c>
      <c r="H196" t="s">
        <v>14</v>
      </c>
      <c r="I196">
        <v>17.450000000000699</v>
      </c>
      <c r="J196">
        <v>34.900000000001398</v>
      </c>
      <c r="K196">
        <v>34.900000000001398</v>
      </c>
      <c r="L196">
        <f>SUM($K$2:K196)</f>
        <v>775.75000000003797</v>
      </c>
      <c r="M196">
        <f>MAX($L$2:L196)</f>
        <v>775.75000000003797</v>
      </c>
      <c r="N196">
        <f t="shared" si="3"/>
        <v>0</v>
      </c>
    </row>
    <row r="197" spans="1:14" x14ac:dyDescent="0.35">
      <c r="A197" t="s">
        <v>383</v>
      </c>
      <c r="B197" t="s">
        <v>384</v>
      </c>
      <c r="C197" t="s">
        <v>13</v>
      </c>
      <c r="D197">
        <v>23687.35</v>
      </c>
      <c r="E197">
        <v>23664.2</v>
      </c>
      <c r="F197">
        <v>23733.6499999999</v>
      </c>
      <c r="G197">
        <v>23664.2</v>
      </c>
      <c r="H197" t="s">
        <v>16</v>
      </c>
      <c r="I197">
        <v>23.149999999997799</v>
      </c>
      <c r="J197">
        <v>46.299999999995599</v>
      </c>
      <c r="K197">
        <v>-23.149999999997799</v>
      </c>
      <c r="L197">
        <f>SUM($K$2:K197)</f>
        <v>752.60000000004015</v>
      </c>
      <c r="M197">
        <f>MAX($L$2:L197)</f>
        <v>775.75000000003797</v>
      </c>
      <c r="N197">
        <f t="shared" si="3"/>
        <v>23.149999999997817</v>
      </c>
    </row>
    <row r="198" spans="1:14" x14ac:dyDescent="0.35">
      <c r="A198" t="s">
        <v>385</v>
      </c>
      <c r="B198" t="s">
        <v>386</v>
      </c>
      <c r="C198" t="s">
        <v>13</v>
      </c>
      <c r="D198">
        <v>23723.5</v>
      </c>
      <c r="E198">
        <v>23664.9</v>
      </c>
      <c r="F198">
        <v>23840.699999999899</v>
      </c>
      <c r="G198">
        <v>23840.699999999899</v>
      </c>
      <c r="H198" t="s">
        <v>14</v>
      </c>
      <c r="I198">
        <v>58.599999999998502</v>
      </c>
      <c r="J198">
        <v>117.199999999997</v>
      </c>
      <c r="K198">
        <v>117.199999999997</v>
      </c>
      <c r="L198">
        <f>SUM($K$2:K198)</f>
        <v>869.80000000003713</v>
      </c>
      <c r="M198">
        <f>MAX($L$2:L198)</f>
        <v>869.80000000003713</v>
      </c>
      <c r="N198">
        <f t="shared" si="3"/>
        <v>0</v>
      </c>
    </row>
    <row r="199" spans="1:14" x14ac:dyDescent="0.35">
      <c r="A199" t="s">
        <v>387</v>
      </c>
      <c r="B199" t="s">
        <v>388</v>
      </c>
      <c r="C199" t="s">
        <v>13</v>
      </c>
      <c r="D199">
        <v>23798.2</v>
      </c>
      <c r="E199">
        <v>23749.65</v>
      </c>
      <c r="F199">
        <v>23895.3</v>
      </c>
      <c r="G199">
        <v>23749.65</v>
      </c>
      <c r="H199" t="s">
        <v>16</v>
      </c>
      <c r="I199">
        <v>48.549999999999201</v>
      </c>
      <c r="J199">
        <v>97.099999999998502</v>
      </c>
      <c r="K199">
        <v>-48.549999999999201</v>
      </c>
      <c r="L199">
        <f>SUM($K$2:K199)</f>
        <v>821.25000000003797</v>
      </c>
      <c r="M199">
        <f>MAX($L$2:L199)</f>
        <v>869.80000000003713</v>
      </c>
      <c r="N199">
        <f t="shared" si="3"/>
        <v>48.549999999999159</v>
      </c>
    </row>
    <row r="200" spans="1:14" x14ac:dyDescent="0.35">
      <c r="A200" t="s">
        <v>389</v>
      </c>
      <c r="B200" t="s">
        <v>390</v>
      </c>
      <c r="C200" t="s">
        <v>32</v>
      </c>
      <c r="D200">
        <v>23671.75</v>
      </c>
      <c r="E200">
        <v>23712.25</v>
      </c>
      <c r="F200">
        <v>23590.75</v>
      </c>
      <c r="G200">
        <v>23712.25</v>
      </c>
      <c r="H200" t="s">
        <v>16</v>
      </c>
      <c r="I200">
        <v>40.5</v>
      </c>
      <c r="J200">
        <v>81</v>
      </c>
      <c r="K200">
        <v>-40.5</v>
      </c>
      <c r="L200">
        <f>SUM($K$2:K200)</f>
        <v>780.75000000003797</v>
      </c>
      <c r="M200">
        <f>MAX($L$2:L200)</f>
        <v>869.80000000003713</v>
      </c>
      <c r="N200">
        <f t="shared" si="3"/>
        <v>89.049999999999159</v>
      </c>
    </row>
    <row r="201" spans="1:14" x14ac:dyDescent="0.35">
      <c r="A201" t="s">
        <v>391</v>
      </c>
      <c r="B201" t="s">
        <v>392</v>
      </c>
      <c r="C201" t="s">
        <v>32</v>
      </c>
      <c r="D201">
        <v>23646.9</v>
      </c>
      <c r="E201">
        <v>23666.400000000001</v>
      </c>
      <c r="F201">
        <v>23607.9</v>
      </c>
      <c r="G201">
        <v>23607.9</v>
      </c>
      <c r="H201" t="s">
        <v>14</v>
      </c>
      <c r="I201">
        <v>19.5</v>
      </c>
      <c r="J201">
        <v>39</v>
      </c>
      <c r="K201">
        <v>39</v>
      </c>
      <c r="L201">
        <f>SUM($K$2:K201)</f>
        <v>819.75000000003797</v>
      </c>
      <c r="M201">
        <f>MAX($L$2:L201)</f>
        <v>869.80000000003713</v>
      </c>
      <c r="N201">
        <f t="shared" si="3"/>
        <v>50.049999999999159</v>
      </c>
    </row>
    <row r="202" spans="1:14" x14ac:dyDescent="0.35">
      <c r="A202" t="s">
        <v>392</v>
      </c>
      <c r="B202" t="s">
        <v>393</v>
      </c>
      <c r="C202" t="s">
        <v>32</v>
      </c>
      <c r="D202">
        <v>23589.15</v>
      </c>
      <c r="E202">
        <v>23634.2</v>
      </c>
      <c r="F202">
        <v>23499.05</v>
      </c>
      <c r="G202">
        <v>23634.2</v>
      </c>
      <c r="H202" t="s">
        <v>16</v>
      </c>
      <c r="I202">
        <v>45.049999999999201</v>
      </c>
      <c r="J202">
        <v>90.099999999998502</v>
      </c>
      <c r="K202">
        <v>-45.049999999999201</v>
      </c>
      <c r="L202">
        <f>SUM($K$2:K202)</f>
        <v>774.70000000003881</v>
      </c>
      <c r="M202">
        <f>MAX($L$2:L202)</f>
        <v>869.80000000003713</v>
      </c>
      <c r="N202">
        <f t="shared" si="3"/>
        <v>95.099999999998317</v>
      </c>
    </row>
    <row r="203" spans="1:14" x14ac:dyDescent="0.35">
      <c r="A203" t="s">
        <v>394</v>
      </c>
      <c r="B203" t="s">
        <v>395</v>
      </c>
      <c r="C203" t="s">
        <v>32</v>
      </c>
      <c r="D203">
        <v>23565.5</v>
      </c>
      <c r="E203">
        <v>23599.35</v>
      </c>
      <c r="F203">
        <v>23497.8</v>
      </c>
      <c r="G203">
        <v>23497.8</v>
      </c>
      <c r="H203" t="s">
        <v>14</v>
      </c>
      <c r="I203">
        <v>33.849999999998502</v>
      </c>
      <c r="J203">
        <v>67.699999999997004</v>
      </c>
      <c r="K203">
        <v>67.699999999997004</v>
      </c>
      <c r="L203">
        <f>SUM($K$2:K203)</f>
        <v>842.40000000003579</v>
      </c>
      <c r="M203">
        <f>MAX($L$2:L203)</f>
        <v>869.80000000003713</v>
      </c>
      <c r="N203">
        <f t="shared" si="3"/>
        <v>27.400000000001342</v>
      </c>
    </row>
    <row r="204" spans="1:14" x14ac:dyDescent="0.35">
      <c r="A204" t="s">
        <v>395</v>
      </c>
      <c r="B204" t="s">
        <v>396</v>
      </c>
      <c r="C204" t="s">
        <v>32</v>
      </c>
      <c r="D204">
        <v>23487.7</v>
      </c>
      <c r="E204">
        <v>23531.25</v>
      </c>
      <c r="F204">
        <v>23400.6</v>
      </c>
      <c r="G204">
        <v>23464.3</v>
      </c>
      <c r="H204" t="s">
        <v>23</v>
      </c>
      <c r="I204">
        <v>43.549999999999201</v>
      </c>
      <c r="J204">
        <v>87.099999999998502</v>
      </c>
      <c r="K204">
        <v>23.400000000001398</v>
      </c>
      <c r="L204">
        <f>SUM($K$2:K204)</f>
        <v>865.80000000003724</v>
      </c>
      <c r="M204">
        <f>MAX($L$2:L204)</f>
        <v>869.80000000003713</v>
      </c>
      <c r="N204">
        <f t="shared" si="3"/>
        <v>3.9999999999998863</v>
      </c>
    </row>
    <row r="205" spans="1:14" x14ac:dyDescent="0.35">
      <c r="A205" t="s">
        <v>397</v>
      </c>
      <c r="B205" t="s">
        <v>398</v>
      </c>
      <c r="C205" t="s">
        <v>13</v>
      </c>
      <c r="D205">
        <v>23611.5</v>
      </c>
      <c r="E205">
        <v>23594.05</v>
      </c>
      <c r="F205">
        <v>23646.400000000001</v>
      </c>
      <c r="G205">
        <v>23594.05</v>
      </c>
      <c r="H205" t="s">
        <v>16</v>
      </c>
      <c r="I205">
        <v>17.450000000000699</v>
      </c>
      <c r="J205">
        <v>34.900000000001398</v>
      </c>
      <c r="K205">
        <v>-17.450000000000699</v>
      </c>
      <c r="L205">
        <f>SUM($K$2:K205)</f>
        <v>848.35000000003652</v>
      </c>
      <c r="M205">
        <f>MAX($L$2:L205)</f>
        <v>869.80000000003713</v>
      </c>
      <c r="N205">
        <f t="shared" si="3"/>
        <v>21.450000000000614</v>
      </c>
    </row>
    <row r="206" spans="1:14" x14ac:dyDescent="0.35">
      <c r="A206" t="s">
        <v>399</v>
      </c>
      <c r="B206" t="s">
        <v>400</v>
      </c>
      <c r="C206" t="s">
        <v>13</v>
      </c>
      <c r="D206">
        <v>23596.799999999999</v>
      </c>
      <c r="E206">
        <v>23581.599999999999</v>
      </c>
      <c r="F206">
        <v>23627.200000000001</v>
      </c>
      <c r="G206">
        <v>23581.599999999999</v>
      </c>
      <c r="H206" t="s">
        <v>16</v>
      </c>
      <c r="I206">
        <v>15.200000000000699</v>
      </c>
      <c r="J206">
        <v>30.400000000001398</v>
      </c>
      <c r="K206">
        <v>-15.200000000000699</v>
      </c>
      <c r="L206">
        <f>SUM($K$2:K206)</f>
        <v>833.15000000003579</v>
      </c>
      <c r="M206">
        <f>MAX($L$2:L206)</f>
        <v>869.80000000003713</v>
      </c>
      <c r="N206">
        <f t="shared" si="3"/>
        <v>36.650000000001342</v>
      </c>
    </row>
    <row r="207" spans="1:14" x14ac:dyDescent="0.35">
      <c r="A207" t="s">
        <v>401</v>
      </c>
      <c r="B207" t="s">
        <v>402</v>
      </c>
      <c r="C207" t="s">
        <v>32</v>
      </c>
      <c r="D207">
        <v>23565.7</v>
      </c>
      <c r="E207">
        <v>23615.85</v>
      </c>
      <c r="F207">
        <v>23465.4</v>
      </c>
      <c r="G207">
        <v>23615.85</v>
      </c>
      <c r="H207" t="s">
        <v>16</v>
      </c>
      <c r="I207">
        <v>50.149999999997803</v>
      </c>
      <c r="J207">
        <v>100.29999999999499</v>
      </c>
      <c r="K207">
        <v>-50.149999999997803</v>
      </c>
      <c r="L207">
        <f>SUM($K$2:K207)</f>
        <v>783.00000000003797</v>
      </c>
      <c r="M207">
        <f>MAX($L$2:L207)</f>
        <v>869.80000000003713</v>
      </c>
      <c r="N207">
        <f t="shared" si="3"/>
        <v>86.799999999999159</v>
      </c>
    </row>
    <row r="208" spans="1:14" x14ac:dyDescent="0.35">
      <c r="A208" t="s">
        <v>403</v>
      </c>
      <c r="B208" t="s">
        <v>404</v>
      </c>
      <c r="C208" t="s">
        <v>32</v>
      </c>
      <c r="D208">
        <v>23473.45</v>
      </c>
      <c r="E208">
        <v>23527.5</v>
      </c>
      <c r="F208">
        <v>23365.35</v>
      </c>
      <c r="G208">
        <v>23527.5</v>
      </c>
      <c r="H208" t="s">
        <v>16</v>
      </c>
      <c r="I208">
        <v>54.049999999999201</v>
      </c>
      <c r="J208">
        <v>108.099999999998</v>
      </c>
      <c r="K208">
        <v>-54.049999999999201</v>
      </c>
      <c r="L208">
        <f>SUM($K$2:K208)</f>
        <v>728.95000000003881</v>
      </c>
      <c r="M208">
        <f>MAX($L$2:L208)</f>
        <v>869.80000000003713</v>
      </c>
      <c r="N208">
        <f t="shared" si="3"/>
        <v>140.84999999999832</v>
      </c>
    </row>
    <row r="209" spans="1:14" x14ac:dyDescent="0.35">
      <c r="A209" t="s">
        <v>405</v>
      </c>
      <c r="B209" t="s">
        <v>406</v>
      </c>
      <c r="C209" t="s">
        <v>32</v>
      </c>
      <c r="D209">
        <v>23462.65</v>
      </c>
      <c r="E209">
        <v>23496.7</v>
      </c>
      <c r="F209">
        <v>23394.55</v>
      </c>
      <c r="G209">
        <v>23394.55</v>
      </c>
      <c r="H209" t="s">
        <v>14</v>
      </c>
      <c r="I209">
        <v>34.049999999999201</v>
      </c>
      <c r="J209">
        <v>68.099999999998502</v>
      </c>
      <c r="K209">
        <v>68.099999999998502</v>
      </c>
      <c r="L209">
        <f>SUM($K$2:K209)</f>
        <v>797.05000000003736</v>
      </c>
      <c r="M209">
        <f>MAX($L$2:L209)</f>
        <v>869.80000000003713</v>
      </c>
      <c r="N209">
        <f t="shared" si="3"/>
        <v>72.749999999999773</v>
      </c>
    </row>
    <row r="210" spans="1:14" x14ac:dyDescent="0.35">
      <c r="A210" t="s">
        <v>406</v>
      </c>
      <c r="B210" t="s">
        <v>407</v>
      </c>
      <c r="C210" t="s">
        <v>32</v>
      </c>
      <c r="D210">
        <v>23374.85</v>
      </c>
      <c r="E210">
        <v>23483.7</v>
      </c>
      <c r="F210">
        <v>23157.1499999999</v>
      </c>
      <c r="G210">
        <v>23157.1499999999</v>
      </c>
      <c r="H210" t="s">
        <v>14</v>
      </c>
      <c r="I210">
        <v>108.850000000002</v>
      </c>
      <c r="J210">
        <v>217.700000000004</v>
      </c>
      <c r="K210">
        <v>217.700000000004</v>
      </c>
      <c r="L210">
        <f>SUM($K$2:K210)</f>
        <v>1014.7500000000414</v>
      </c>
      <c r="M210">
        <f>MAX($L$2:L210)</f>
        <v>1014.7500000000414</v>
      </c>
      <c r="N210">
        <f t="shared" si="3"/>
        <v>0</v>
      </c>
    </row>
    <row r="211" spans="1:14" x14ac:dyDescent="0.35">
      <c r="A211" t="s">
        <v>408</v>
      </c>
      <c r="B211" t="s">
        <v>409</v>
      </c>
      <c r="C211" t="s">
        <v>32</v>
      </c>
      <c r="D211">
        <v>23154.75</v>
      </c>
      <c r="E211">
        <v>23177.15</v>
      </c>
      <c r="F211">
        <v>23109.949999999899</v>
      </c>
      <c r="G211">
        <v>23177.15</v>
      </c>
      <c r="H211" t="s">
        <v>16</v>
      </c>
      <c r="I211">
        <v>22.400000000001398</v>
      </c>
      <c r="J211">
        <v>44.800000000002903</v>
      </c>
      <c r="K211">
        <v>-22.400000000001398</v>
      </c>
      <c r="L211">
        <f>SUM($K$2:K211)</f>
        <v>992.35000000003993</v>
      </c>
      <c r="M211">
        <f>MAX($L$2:L211)</f>
        <v>1014.7500000000414</v>
      </c>
      <c r="N211">
        <f t="shared" si="3"/>
        <v>22.400000000001455</v>
      </c>
    </row>
    <row r="212" spans="1:14" x14ac:dyDescent="0.35">
      <c r="A212" t="s">
        <v>410</v>
      </c>
      <c r="B212" t="s">
        <v>411</v>
      </c>
      <c r="C212" t="s">
        <v>32</v>
      </c>
      <c r="D212">
        <v>23156.95</v>
      </c>
      <c r="E212">
        <v>23186.799999999999</v>
      </c>
      <c r="F212">
        <v>23097.25</v>
      </c>
      <c r="G212">
        <v>23179.7</v>
      </c>
      <c r="H212" t="s">
        <v>23</v>
      </c>
      <c r="I212">
        <v>29.849999999998499</v>
      </c>
      <c r="J212">
        <v>59.699999999996997</v>
      </c>
      <c r="K212">
        <v>-22.75</v>
      </c>
      <c r="L212">
        <f>SUM($K$2:K212)</f>
        <v>969.60000000003993</v>
      </c>
      <c r="M212">
        <f>MAX($L$2:L212)</f>
        <v>1014.7500000000414</v>
      </c>
      <c r="N212">
        <f t="shared" si="3"/>
        <v>45.150000000001455</v>
      </c>
    </row>
    <row r="213" spans="1:14" x14ac:dyDescent="0.35">
      <c r="A213" t="s">
        <v>412</v>
      </c>
      <c r="B213" t="s">
        <v>413</v>
      </c>
      <c r="C213" t="s">
        <v>13</v>
      </c>
      <c r="D213">
        <v>23246.5</v>
      </c>
      <c r="E213">
        <v>23176.85</v>
      </c>
      <c r="F213">
        <v>23385.8</v>
      </c>
      <c r="G213">
        <v>23330.799999999999</v>
      </c>
      <c r="H213" t="s">
        <v>23</v>
      </c>
      <c r="I213">
        <v>69.650000000001398</v>
      </c>
      <c r="J213">
        <v>139.300000000002</v>
      </c>
      <c r="K213">
        <v>84.299999999999201</v>
      </c>
      <c r="L213">
        <f>SUM($K$2:K213)</f>
        <v>1053.9000000000392</v>
      </c>
      <c r="M213">
        <f>MAX($L$2:L213)</f>
        <v>1053.9000000000392</v>
      </c>
      <c r="N213">
        <f t="shared" si="3"/>
        <v>0</v>
      </c>
    </row>
    <row r="214" spans="1:14" x14ac:dyDescent="0.35">
      <c r="A214" t="s">
        <v>414</v>
      </c>
      <c r="B214" t="s">
        <v>415</v>
      </c>
      <c r="C214" t="s">
        <v>32</v>
      </c>
      <c r="D214">
        <v>23251.45</v>
      </c>
      <c r="E214">
        <v>23280.799999999999</v>
      </c>
      <c r="F214">
        <v>23192.75</v>
      </c>
      <c r="G214">
        <v>23280.799999999999</v>
      </c>
      <c r="H214" t="s">
        <v>16</v>
      </c>
      <c r="I214">
        <v>29.349999999998499</v>
      </c>
      <c r="J214">
        <v>58.699999999996997</v>
      </c>
      <c r="K214">
        <v>-29.349999999998499</v>
      </c>
      <c r="L214">
        <f>SUM($K$2:K214)</f>
        <v>1024.5500000000407</v>
      </c>
      <c r="M214">
        <f>MAX($L$2:L214)</f>
        <v>1053.9000000000392</v>
      </c>
      <c r="N214">
        <f t="shared" si="3"/>
        <v>29.349999999998545</v>
      </c>
    </row>
    <row r="215" spans="1:14" x14ac:dyDescent="0.35">
      <c r="A215" t="s">
        <v>416</v>
      </c>
      <c r="B215" t="s">
        <v>417</v>
      </c>
      <c r="C215" t="s">
        <v>13</v>
      </c>
      <c r="D215">
        <v>23289.1</v>
      </c>
      <c r="E215">
        <v>23276.6</v>
      </c>
      <c r="F215">
        <v>23314.1</v>
      </c>
      <c r="G215">
        <v>23276.6</v>
      </c>
      <c r="H215" t="s">
        <v>16</v>
      </c>
      <c r="I215">
        <v>12.5</v>
      </c>
      <c r="J215">
        <v>25</v>
      </c>
      <c r="K215">
        <v>-12.5</v>
      </c>
      <c r="L215">
        <f>SUM($K$2:K215)</f>
        <v>1012.0500000000407</v>
      </c>
      <c r="M215">
        <f>MAX($L$2:L215)</f>
        <v>1053.9000000000392</v>
      </c>
      <c r="N215">
        <f t="shared" si="3"/>
        <v>41.849999999998545</v>
      </c>
    </row>
    <row r="216" spans="1:14" x14ac:dyDescent="0.35">
      <c r="A216" t="s">
        <v>418</v>
      </c>
      <c r="B216" t="s">
        <v>419</v>
      </c>
      <c r="C216" t="s">
        <v>32</v>
      </c>
      <c r="D216">
        <v>22963.95</v>
      </c>
      <c r="E216">
        <v>23012.3</v>
      </c>
      <c r="F216">
        <v>22867.25</v>
      </c>
      <c r="G216">
        <v>22867.25</v>
      </c>
      <c r="H216" t="s">
        <v>14</v>
      </c>
      <c r="I216">
        <v>48.349999999998502</v>
      </c>
      <c r="J216">
        <v>96.699999999997004</v>
      </c>
      <c r="K216">
        <v>96.699999999997004</v>
      </c>
      <c r="L216">
        <f>SUM($K$2:K216)</f>
        <v>1108.7500000000377</v>
      </c>
      <c r="M216">
        <f>MAX($L$2:L216)</f>
        <v>1108.7500000000377</v>
      </c>
      <c r="N216">
        <f t="shared" si="3"/>
        <v>0</v>
      </c>
    </row>
    <row r="217" spans="1:14" x14ac:dyDescent="0.35">
      <c r="A217" t="s">
        <v>420</v>
      </c>
      <c r="B217" t="s">
        <v>421</v>
      </c>
      <c r="C217" t="s">
        <v>32</v>
      </c>
      <c r="D217">
        <v>21986.3</v>
      </c>
      <c r="E217">
        <v>22014.85</v>
      </c>
      <c r="F217">
        <v>21929.200000000001</v>
      </c>
      <c r="G217">
        <v>22014.85</v>
      </c>
      <c r="H217" t="s">
        <v>16</v>
      </c>
      <c r="I217">
        <v>28.549999999999201</v>
      </c>
      <c r="J217">
        <v>57.099999999998502</v>
      </c>
      <c r="K217">
        <v>-28.549999999999201</v>
      </c>
      <c r="L217">
        <f>SUM($K$2:K217)</f>
        <v>1080.2000000000385</v>
      </c>
      <c r="M217">
        <f>MAX($L$2:L217)</f>
        <v>1108.7500000000377</v>
      </c>
      <c r="N217">
        <f t="shared" si="3"/>
        <v>28.549999999999272</v>
      </c>
    </row>
    <row r="218" spans="1:14" x14ac:dyDescent="0.35">
      <c r="A218" t="s">
        <v>422</v>
      </c>
      <c r="B218" t="s">
        <v>423</v>
      </c>
      <c r="C218" t="s">
        <v>32</v>
      </c>
      <c r="D218">
        <v>21985.4</v>
      </c>
      <c r="E218">
        <v>22004.85</v>
      </c>
      <c r="F218">
        <v>21946.5</v>
      </c>
      <c r="G218">
        <v>21946.5</v>
      </c>
      <c r="H218" t="s">
        <v>14</v>
      </c>
      <c r="I218">
        <v>19.449999999997001</v>
      </c>
      <c r="J218">
        <v>38.899999999994101</v>
      </c>
      <c r="K218">
        <v>38.899999999994101</v>
      </c>
      <c r="L218">
        <f>SUM($K$2:K218)</f>
        <v>1119.1000000000327</v>
      </c>
      <c r="M218">
        <f>MAX($L$2:L218)</f>
        <v>1119.1000000000327</v>
      </c>
      <c r="N218">
        <f t="shared" si="3"/>
        <v>0</v>
      </c>
    </row>
    <row r="219" spans="1:14" x14ac:dyDescent="0.35">
      <c r="A219" t="s">
        <v>424</v>
      </c>
      <c r="B219" t="s">
        <v>425</v>
      </c>
      <c r="C219" t="s">
        <v>32</v>
      </c>
      <c r="D219">
        <v>21865.25</v>
      </c>
      <c r="E219">
        <v>21894.85</v>
      </c>
      <c r="F219">
        <v>21806.05</v>
      </c>
      <c r="G219">
        <v>21894.85</v>
      </c>
      <c r="H219" t="s">
        <v>16</v>
      </c>
      <c r="I219">
        <v>29.599999999998499</v>
      </c>
      <c r="J219">
        <v>59.199999999996997</v>
      </c>
      <c r="K219">
        <v>-29.599999999998499</v>
      </c>
      <c r="L219">
        <f>SUM($K$2:K219)</f>
        <v>1089.5000000000341</v>
      </c>
      <c r="M219">
        <f>MAX($L$2:L219)</f>
        <v>1119.1000000000327</v>
      </c>
      <c r="N219">
        <f t="shared" si="3"/>
        <v>29.599999999998545</v>
      </c>
    </row>
    <row r="220" spans="1:14" x14ac:dyDescent="0.35">
      <c r="A220" t="s">
        <v>426</v>
      </c>
      <c r="B220" t="s">
        <v>427</v>
      </c>
      <c r="C220" t="s">
        <v>13</v>
      </c>
      <c r="D220">
        <v>22411.35</v>
      </c>
      <c r="E220">
        <v>22378</v>
      </c>
      <c r="F220">
        <v>22478.049999999901</v>
      </c>
      <c r="G220">
        <v>22378</v>
      </c>
      <c r="H220" t="s">
        <v>16</v>
      </c>
      <c r="I220">
        <v>33.349999999998502</v>
      </c>
      <c r="J220">
        <v>66.699999999997004</v>
      </c>
      <c r="K220">
        <v>-33.349999999998502</v>
      </c>
      <c r="L220">
        <f>SUM($K$2:K220)</f>
        <v>1056.1500000000356</v>
      </c>
      <c r="M220">
        <f>MAX($L$2:L220)</f>
        <v>1119.1000000000327</v>
      </c>
      <c r="N220">
        <f t="shared" si="3"/>
        <v>62.94999999999709</v>
      </c>
    </row>
    <row r="221" spans="1:14" x14ac:dyDescent="0.35">
      <c r="A221" t="s">
        <v>428</v>
      </c>
      <c r="B221" t="s">
        <v>429</v>
      </c>
      <c r="C221" t="s">
        <v>13</v>
      </c>
      <c r="D221">
        <v>22481.15</v>
      </c>
      <c r="E221">
        <v>22388.9</v>
      </c>
      <c r="F221">
        <v>22665.65</v>
      </c>
      <c r="G221">
        <v>22388.9</v>
      </c>
      <c r="H221" t="s">
        <v>16</v>
      </c>
      <c r="I221">
        <v>92.25</v>
      </c>
      <c r="J221">
        <v>184.5</v>
      </c>
      <c r="K221">
        <v>-92.25</v>
      </c>
      <c r="L221">
        <f>SUM($K$2:K221)</f>
        <v>963.90000000003556</v>
      </c>
      <c r="M221">
        <f>MAX($L$2:L221)</f>
        <v>1119.1000000000327</v>
      </c>
      <c r="N221">
        <f t="shared" si="3"/>
        <v>155.19999999999709</v>
      </c>
    </row>
    <row r="222" spans="1:14" x14ac:dyDescent="0.35">
      <c r="A222" t="s">
        <v>430</v>
      </c>
      <c r="B222" t="s">
        <v>431</v>
      </c>
      <c r="C222" t="s">
        <v>32</v>
      </c>
      <c r="D222">
        <v>22394.05</v>
      </c>
      <c r="E222">
        <v>22468.7</v>
      </c>
      <c r="F222">
        <v>22244.749999999902</v>
      </c>
      <c r="G222">
        <v>22420.400000000001</v>
      </c>
      <c r="H222" t="s">
        <v>23</v>
      </c>
      <c r="I222">
        <v>74.650000000001398</v>
      </c>
      <c r="J222">
        <v>149.300000000002</v>
      </c>
      <c r="K222">
        <v>-26.350000000002101</v>
      </c>
      <c r="L222">
        <f>SUM($K$2:K222)</f>
        <v>937.55000000003349</v>
      </c>
      <c r="M222">
        <f>MAX($L$2:L222)</f>
        <v>1119.1000000000327</v>
      </c>
      <c r="N222">
        <f t="shared" si="3"/>
        <v>181.54999999999916</v>
      </c>
    </row>
    <row r="223" spans="1:14" x14ac:dyDescent="0.35">
      <c r="A223" t="s">
        <v>432</v>
      </c>
      <c r="B223" t="s">
        <v>433</v>
      </c>
      <c r="C223" t="s">
        <v>13</v>
      </c>
      <c r="D223">
        <v>22806.35</v>
      </c>
      <c r="E223">
        <v>22781.45</v>
      </c>
      <c r="F223">
        <v>22856.1499999999</v>
      </c>
      <c r="G223">
        <v>22856.1499999999</v>
      </c>
      <c r="H223" t="s">
        <v>14</v>
      </c>
      <c r="I223">
        <v>24.899999999997799</v>
      </c>
      <c r="J223">
        <v>49.799999999995599</v>
      </c>
      <c r="K223">
        <v>49.799999999995599</v>
      </c>
      <c r="L223">
        <f>SUM($K$2:K223)</f>
        <v>987.35000000002913</v>
      </c>
      <c r="M223">
        <f>MAX($L$2:L223)</f>
        <v>1119.1000000000327</v>
      </c>
      <c r="N223">
        <f t="shared" si="3"/>
        <v>131.75000000000352</v>
      </c>
    </row>
    <row r="224" spans="1:14" x14ac:dyDescent="0.35">
      <c r="A224" t="s">
        <v>434</v>
      </c>
      <c r="B224" t="s">
        <v>435</v>
      </c>
      <c r="C224" t="s">
        <v>13</v>
      </c>
      <c r="D224">
        <v>22907.85</v>
      </c>
      <c r="E224">
        <v>22872.05</v>
      </c>
      <c r="F224">
        <v>22979.449999999899</v>
      </c>
      <c r="G224">
        <v>22872.05</v>
      </c>
      <c r="H224" t="s">
        <v>16</v>
      </c>
      <c r="I224">
        <v>35.799999999999201</v>
      </c>
      <c r="J224">
        <v>71.599999999998502</v>
      </c>
      <c r="K224">
        <v>-35.799999999999201</v>
      </c>
      <c r="L224">
        <f>SUM($K$2:K224)</f>
        <v>951.55000000002997</v>
      </c>
      <c r="M224">
        <f>MAX($L$2:L224)</f>
        <v>1119.1000000000327</v>
      </c>
      <c r="N224">
        <f t="shared" si="3"/>
        <v>167.55000000000268</v>
      </c>
    </row>
    <row r="225" spans="1:14" x14ac:dyDescent="0.35">
      <c r="A225" t="s">
        <v>436</v>
      </c>
      <c r="B225" t="s">
        <v>437</v>
      </c>
      <c r="C225" t="s">
        <v>13</v>
      </c>
      <c r="D225">
        <v>23357.7</v>
      </c>
      <c r="E225">
        <v>23337.25</v>
      </c>
      <c r="F225">
        <v>23398.6</v>
      </c>
      <c r="G225">
        <v>23337.25</v>
      </c>
      <c r="H225" t="s">
        <v>16</v>
      </c>
      <c r="I225">
        <v>20.450000000000699</v>
      </c>
      <c r="J225">
        <v>40.900000000001398</v>
      </c>
      <c r="K225">
        <v>-20.450000000000699</v>
      </c>
      <c r="L225">
        <f>SUM($K$2:K225)</f>
        <v>931.10000000002924</v>
      </c>
      <c r="M225">
        <f>MAX($L$2:L225)</f>
        <v>1119.1000000000327</v>
      </c>
      <c r="N225">
        <f t="shared" si="3"/>
        <v>188.00000000000341</v>
      </c>
    </row>
    <row r="226" spans="1:14" x14ac:dyDescent="0.35">
      <c r="A226" t="s">
        <v>438</v>
      </c>
      <c r="B226" t="s">
        <v>439</v>
      </c>
      <c r="C226" t="s">
        <v>32</v>
      </c>
      <c r="D226">
        <v>23286.1</v>
      </c>
      <c r="E226">
        <v>23313.75</v>
      </c>
      <c r="F226">
        <v>23230.799999999901</v>
      </c>
      <c r="G226">
        <v>23313.75</v>
      </c>
      <c r="H226" t="s">
        <v>16</v>
      </c>
      <c r="I226">
        <v>27.650000000001398</v>
      </c>
      <c r="J226">
        <v>55.300000000002903</v>
      </c>
      <c r="K226">
        <v>-27.650000000001398</v>
      </c>
      <c r="L226">
        <f>SUM($K$2:K226)</f>
        <v>903.45000000002779</v>
      </c>
      <c r="M226">
        <f>MAX($L$2:L226)</f>
        <v>1119.1000000000327</v>
      </c>
      <c r="N226">
        <f t="shared" si="3"/>
        <v>215.65000000000487</v>
      </c>
    </row>
    <row r="227" spans="1:14" x14ac:dyDescent="0.35">
      <c r="A227" t="s">
        <v>440</v>
      </c>
      <c r="B227" t="s">
        <v>441</v>
      </c>
      <c r="C227" t="s">
        <v>13</v>
      </c>
      <c r="D227">
        <v>23421.95</v>
      </c>
      <c r="E227">
        <v>23402.9</v>
      </c>
      <c r="F227">
        <v>23460.05</v>
      </c>
      <c r="G227">
        <v>23402.9</v>
      </c>
      <c r="H227" t="s">
        <v>16</v>
      </c>
      <c r="I227">
        <v>19.049999999999201</v>
      </c>
      <c r="J227">
        <v>38.099999999998502</v>
      </c>
      <c r="K227">
        <v>-19.049999999999201</v>
      </c>
      <c r="L227">
        <f>SUM($K$2:K227)</f>
        <v>884.40000000002863</v>
      </c>
      <c r="M227">
        <f>MAX($L$2:L227)</f>
        <v>1119.1000000000327</v>
      </c>
      <c r="N227">
        <f t="shared" si="3"/>
        <v>234.70000000000402</v>
      </c>
    </row>
    <row r="228" spans="1:14" x14ac:dyDescent="0.35">
      <c r="A228" t="s">
        <v>442</v>
      </c>
      <c r="B228" t="s">
        <v>443</v>
      </c>
      <c r="C228" t="s">
        <v>13</v>
      </c>
      <c r="D228">
        <v>23423.599999999999</v>
      </c>
      <c r="E228">
        <v>23378.9</v>
      </c>
      <c r="F228">
        <v>23512.999999999902</v>
      </c>
      <c r="G228">
        <v>23512.999999999902</v>
      </c>
      <c r="H228" t="s">
        <v>14</v>
      </c>
      <c r="I228">
        <v>44.699999999996997</v>
      </c>
      <c r="J228">
        <v>89.399999999994094</v>
      </c>
      <c r="K228">
        <v>89.399999999994094</v>
      </c>
      <c r="L228">
        <f>SUM($K$2:K228)</f>
        <v>973.80000000002269</v>
      </c>
      <c r="M228">
        <f>MAX($L$2:L228)</f>
        <v>1119.1000000000327</v>
      </c>
      <c r="N228">
        <f t="shared" si="3"/>
        <v>145.30000000000996</v>
      </c>
    </row>
    <row r="229" spans="1:14" x14ac:dyDescent="0.35">
      <c r="A229" t="s">
        <v>444</v>
      </c>
      <c r="B229" t="s">
        <v>445</v>
      </c>
      <c r="C229" t="s">
        <v>13</v>
      </c>
      <c r="D229">
        <v>23834.05</v>
      </c>
      <c r="E229">
        <v>23818.45</v>
      </c>
      <c r="F229">
        <v>23865.249999999902</v>
      </c>
      <c r="G229">
        <v>23865.249999999902</v>
      </c>
      <c r="H229" t="s">
        <v>14</v>
      </c>
      <c r="I229">
        <v>15.5999999999985</v>
      </c>
      <c r="J229">
        <v>31.199999999997001</v>
      </c>
      <c r="K229">
        <v>31.199999999997001</v>
      </c>
      <c r="L229">
        <f>SUM($K$2:K229)</f>
        <v>1005.0000000000197</v>
      </c>
      <c r="M229">
        <f>MAX($L$2:L229)</f>
        <v>1119.1000000000327</v>
      </c>
      <c r="N229">
        <f t="shared" si="3"/>
        <v>114.10000000001298</v>
      </c>
    </row>
    <row r="230" spans="1:14" x14ac:dyDescent="0.35">
      <c r="A230" t="s">
        <v>446</v>
      </c>
      <c r="B230" t="s">
        <v>447</v>
      </c>
      <c r="C230" t="s">
        <v>13</v>
      </c>
      <c r="D230">
        <v>24045.65</v>
      </c>
      <c r="E230">
        <v>24011.35</v>
      </c>
      <c r="F230">
        <v>24114.25</v>
      </c>
      <c r="G230">
        <v>24114.25</v>
      </c>
      <c r="H230" t="s">
        <v>14</v>
      </c>
      <c r="I230">
        <v>34.300000000002903</v>
      </c>
      <c r="J230">
        <v>68.600000000005807</v>
      </c>
      <c r="K230">
        <v>68.600000000005807</v>
      </c>
      <c r="L230">
        <f>SUM($K$2:K230)</f>
        <v>1073.6000000000254</v>
      </c>
      <c r="M230">
        <f>MAX($L$2:L230)</f>
        <v>1119.1000000000327</v>
      </c>
      <c r="N230">
        <f t="shared" si="3"/>
        <v>45.500000000007276</v>
      </c>
    </row>
    <row r="231" spans="1:14" x14ac:dyDescent="0.35">
      <c r="A231" t="s">
        <v>448</v>
      </c>
      <c r="B231" t="s">
        <v>449</v>
      </c>
      <c r="C231" t="s">
        <v>13</v>
      </c>
      <c r="D231">
        <v>24124.95</v>
      </c>
      <c r="E231">
        <v>24106.25</v>
      </c>
      <c r="F231">
        <v>24162.35</v>
      </c>
      <c r="G231">
        <v>24162.35</v>
      </c>
      <c r="H231" t="s">
        <v>14</v>
      </c>
      <c r="I231">
        <v>18.700000000000699</v>
      </c>
      <c r="J231">
        <v>37.400000000001398</v>
      </c>
      <c r="K231">
        <v>37.400000000001398</v>
      </c>
      <c r="L231">
        <f>SUM($K$2:K231)</f>
        <v>1111.0000000000268</v>
      </c>
      <c r="M231">
        <f>MAX($L$2:L231)</f>
        <v>1119.1000000000327</v>
      </c>
      <c r="N231">
        <f t="shared" si="3"/>
        <v>8.1000000000058208</v>
      </c>
    </row>
    <row r="232" spans="1:14" x14ac:dyDescent="0.35">
      <c r="A232" t="s">
        <v>450</v>
      </c>
      <c r="B232" t="s">
        <v>451</v>
      </c>
      <c r="C232" t="s">
        <v>13</v>
      </c>
      <c r="D232">
        <v>24188.45</v>
      </c>
      <c r="E232">
        <v>24175.5</v>
      </c>
      <c r="F232">
        <v>24214.35</v>
      </c>
      <c r="G232">
        <v>24175.5</v>
      </c>
      <c r="H232" t="s">
        <v>16</v>
      </c>
      <c r="I232">
        <v>12.950000000000699</v>
      </c>
      <c r="J232">
        <v>25.900000000001398</v>
      </c>
      <c r="K232">
        <v>-12.950000000000699</v>
      </c>
      <c r="L232">
        <f>SUM($K$2:K232)</f>
        <v>1098.0500000000261</v>
      </c>
      <c r="M232">
        <f>MAX($L$2:L232)</f>
        <v>1119.1000000000327</v>
      </c>
      <c r="N232">
        <f t="shared" si="3"/>
        <v>21.050000000006548</v>
      </c>
    </row>
    <row r="233" spans="1:14" x14ac:dyDescent="0.35">
      <c r="A233" t="s">
        <v>452</v>
      </c>
      <c r="B233" t="s">
        <v>453</v>
      </c>
      <c r="C233" t="s">
        <v>32</v>
      </c>
      <c r="D233">
        <v>24089.1</v>
      </c>
      <c r="E233">
        <v>24201.65</v>
      </c>
      <c r="F233">
        <v>23863.999999999902</v>
      </c>
      <c r="G233">
        <v>24201.65</v>
      </c>
      <c r="H233" t="s">
        <v>16</v>
      </c>
      <c r="I233">
        <v>112.550000000002</v>
      </c>
      <c r="J233">
        <v>225.100000000005</v>
      </c>
      <c r="K233">
        <v>-112.550000000002</v>
      </c>
      <c r="L233">
        <f>SUM($K$2:K233)</f>
        <v>985.5000000000241</v>
      </c>
      <c r="M233">
        <f>MAX($L$2:L233)</f>
        <v>1119.1000000000327</v>
      </c>
      <c r="N233">
        <f t="shared" si="3"/>
        <v>133.60000000000855</v>
      </c>
    </row>
    <row r="234" spans="1:14" x14ac:dyDescent="0.35">
      <c r="A234" t="s">
        <v>454</v>
      </c>
      <c r="B234" t="s">
        <v>455</v>
      </c>
      <c r="C234" t="s">
        <v>13</v>
      </c>
      <c r="D234">
        <v>24207.8</v>
      </c>
      <c r="E234">
        <v>24193.9</v>
      </c>
      <c r="F234">
        <v>24235.5999999999</v>
      </c>
      <c r="G234">
        <v>24235.5999999999</v>
      </c>
      <c r="H234" t="s">
        <v>14</v>
      </c>
      <c r="I234">
        <v>13.899999999997799</v>
      </c>
      <c r="J234">
        <v>27.799999999995599</v>
      </c>
      <c r="K234">
        <v>27.799999999995599</v>
      </c>
      <c r="L234">
        <f>SUM($K$2:K234)</f>
        <v>1013.3000000000197</v>
      </c>
      <c r="M234">
        <f>MAX($L$2:L234)</f>
        <v>1119.1000000000327</v>
      </c>
      <c r="N234">
        <f t="shared" si="3"/>
        <v>105.80000000001291</v>
      </c>
    </row>
    <row r="235" spans="1:14" x14ac:dyDescent="0.35">
      <c r="A235" t="s">
        <v>456</v>
      </c>
      <c r="B235" t="s">
        <v>457</v>
      </c>
      <c r="C235" t="s">
        <v>32</v>
      </c>
      <c r="D235">
        <v>24178.45</v>
      </c>
      <c r="E235">
        <v>24191.15</v>
      </c>
      <c r="F235">
        <v>24153.05</v>
      </c>
      <c r="G235">
        <v>24191.15</v>
      </c>
      <c r="H235" t="s">
        <v>16</v>
      </c>
      <c r="I235">
        <v>12.700000000000699</v>
      </c>
      <c r="J235">
        <v>25.400000000001398</v>
      </c>
      <c r="K235">
        <v>-12.700000000000699</v>
      </c>
      <c r="L235">
        <f>SUM($K$2:K235)</f>
        <v>1000.600000000019</v>
      </c>
      <c r="M235">
        <f>MAX($L$2:L235)</f>
        <v>1119.1000000000327</v>
      </c>
      <c r="N235">
        <f t="shared" si="3"/>
        <v>118.50000000001364</v>
      </c>
    </row>
    <row r="236" spans="1:14" x14ac:dyDescent="0.35">
      <c r="A236" t="s">
        <v>458</v>
      </c>
      <c r="B236" t="s">
        <v>459</v>
      </c>
      <c r="C236" t="s">
        <v>32</v>
      </c>
      <c r="D236">
        <v>24180</v>
      </c>
      <c r="E236">
        <v>24217.5</v>
      </c>
      <c r="F236">
        <v>24105</v>
      </c>
      <c r="G236">
        <v>24217.5</v>
      </c>
      <c r="H236" t="s">
        <v>16</v>
      </c>
      <c r="I236">
        <v>37.5</v>
      </c>
      <c r="J236">
        <v>75</v>
      </c>
      <c r="K236">
        <v>-37.5</v>
      </c>
      <c r="L236">
        <f>SUM($K$2:K236)</f>
        <v>963.10000000001901</v>
      </c>
      <c r="M236">
        <f>MAX($L$2:L236)</f>
        <v>1119.1000000000327</v>
      </c>
      <c r="N236">
        <f t="shared" si="3"/>
        <v>156.00000000001364</v>
      </c>
    </row>
    <row r="237" spans="1:14" x14ac:dyDescent="0.35">
      <c r="A237" t="s">
        <v>460</v>
      </c>
      <c r="B237" t="s">
        <v>461</v>
      </c>
      <c r="C237" t="s">
        <v>13</v>
      </c>
      <c r="D237">
        <v>24215.8</v>
      </c>
      <c r="E237">
        <v>24203.5</v>
      </c>
      <c r="F237">
        <v>24240.3999999999</v>
      </c>
      <c r="G237">
        <v>24203.5</v>
      </c>
      <c r="H237" t="s">
        <v>16</v>
      </c>
      <c r="I237">
        <v>12.2999999999992</v>
      </c>
      <c r="J237">
        <v>24.599999999998499</v>
      </c>
      <c r="K237">
        <v>-12.2999999999992</v>
      </c>
      <c r="L237">
        <f>SUM($K$2:K237)</f>
        <v>950.80000000001985</v>
      </c>
      <c r="M237">
        <f>MAX($L$2:L237)</f>
        <v>1119.1000000000327</v>
      </c>
      <c r="N237">
        <f t="shared" si="3"/>
        <v>168.3000000000128</v>
      </c>
    </row>
    <row r="238" spans="1:14" x14ac:dyDescent="0.35">
      <c r="A238" t="s">
        <v>462</v>
      </c>
      <c r="B238" t="s">
        <v>463</v>
      </c>
      <c r="C238" t="s">
        <v>32</v>
      </c>
      <c r="D238">
        <v>24270.75</v>
      </c>
      <c r="E238">
        <v>24288.5</v>
      </c>
      <c r="F238">
        <v>24235.25</v>
      </c>
      <c r="G238">
        <v>24288.5</v>
      </c>
      <c r="H238" t="s">
        <v>16</v>
      </c>
      <c r="I238">
        <v>17.75</v>
      </c>
      <c r="J238">
        <v>35.5</v>
      </c>
      <c r="K238">
        <v>-17.75</v>
      </c>
      <c r="L238">
        <f>SUM($K$2:K238)</f>
        <v>933.05000000001985</v>
      </c>
      <c r="M238">
        <f>MAX($L$2:L238)</f>
        <v>1119.1000000000327</v>
      </c>
      <c r="N238">
        <f t="shared" si="3"/>
        <v>186.0500000000128</v>
      </c>
    </row>
    <row r="239" spans="1:14" x14ac:dyDescent="0.35">
      <c r="A239" t="s">
        <v>464</v>
      </c>
      <c r="B239" t="s">
        <v>465</v>
      </c>
      <c r="C239" t="s">
        <v>32</v>
      </c>
      <c r="D239">
        <v>24257.5</v>
      </c>
      <c r="E239">
        <v>24272.5</v>
      </c>
      <c r="F239">
        <v>24227.5</v>
      </c>
      <c r="G239">
        <v>24272.5</v>
      </c>
      <c r="H239" t="s">
        <v>16</v>
      </c>
      <c r="I239">
        <v>15</v>
      </c>
      <c r="J239">
        <v>30</v>
      </c>
      <c r="K239">
        <v>-15</v>
      </c>
      <c r="L239">
        <f>SUM($K$2:K239)</f>
        <v>918.05000000001985</v>
      </c>
      <c r="M239">
        <f>MAX($L$2:L239)</f>
        <v>1119.1000000000327</v>
      </c>
      <c r="N239">
        <f t="shared" si="3"/>
        <v>201.0500000000128</v>
      </c>
    </row>
    <row r="240" spans="1:14" x14ac:dyDescent="0.35">
      <c r="A240" t="s">
        <v>466</v>
      </c>
      <c r="B240" t="s">
        <v>467</v>
      </c>
      <c r="C240" t="s">
        <v>13</v>
      </c>
      <c r="D240">
        <v>24325.7</v>
      </c>
      <c r="E240">
        <v>24264.799999999999</v>
      </c>
      <c r="F240">
        <v>24447.5</v>
      </c>
      <c r="G240">
        <v>24264.799999999999</v>
      </c>
      <c r="H240" t="s">
        <v>16</v>
      </c>
      <c r="I240">
        <v>60.900000000001398</v>
      </c>
      <c r="J240">
        <v>121.800000000002</v>
      </c>
      <c r="K240">
        <v>-60.900000000001398</v>
      </c>
      <c r="L240">
        <f>SUM($K$2:K240)</f>
        <v>857.15000000001851</v>
      </c>
      <c r="M240">
        <f>MAX($L$2:L240)</f>
        <v>1119.1000000000327</v>
      </c>
      <c r="N240">
        <f t="shared" si="3"/>
        <v>261.95000000001414</v>
      </c>
    </row>
    <row r="241" spans="1:14" x14ac:dyDescent="0.35">
      <c r="A241" t="s">
        <v>468</v>
      </c>
      <c r="B241" t="s">
        <v>469</v>
      </c>
      <c r="C241" t="s">
        <v>32</v>
      </c>
      <c r="D241">
        <v>23903.4</v>
      </c>
      <c r="E241">
        <v>23927.25</v>
      </c>
      <c r="F241">
        <v>23855.7</v>
      </c>
      <c r="G241">
        <v>23855.7</v>
      </c>
      <c r="H241" t="s">
        <v>14</v>
      </c>
      <c r="I241">
        <v>23.849999999998499</v>
      </c>
      <c r="J241">
        <v>47.699999999996997</v>
      </c>
      <c r="K241">
        <v>47.699999999996997</v>
      </c>
      <c r="L241">
        <f>SUM($K$2:K241)</f>
        <v>904.85000000001548</v>
      </c>
      <c r="M241">
        <f>MAX($L$2:L241)</f>
        <v>1119.1000000000327</v>
      </c>
      <c r="N241">
        <f t="shared" si="3"/>
        <v>214.25000000001717</v>
      </c>
    </row>
    <row r="242" spans="1:14" x14ac:dyDescent="0.35">
      <c r="A242" t="s">
        <v>470</v>
      </c>
      <c r="B242" t="s">
        <v>471</v>
      </c>
      <c r="C242" t="s">
        <v>13</v>
      </c>
      <c r="D242">
        <v>24077.1</v>
      </c>
      <c r="E242">
        <v>24046</v>
      </c>
      <c r="F242">
        <v>24139.299999999901</v>
      </c>
      <c r="G242">
        <v>24046</v>
      </c>
      <c r="H242" t="s">
        <v>16</v>
      </c>
      <c r="I242">
        <v>31.099999999998499</v>
      </c>
      <c r="J242">
        <v>62.199999999996997</v>
      </c>
      <c r="K242">
        <v>-31.099999999998499</v>
      </c>
      <c r="L242">
        <f>SUM($K$2:K242)</f>
        <v>873.75000000001694</v>
      </c>
      <c r="M242">
        <f>MAX($L$2:L242)</f>
        <v>1119.1000000000327</v>
      </c>
      <c r="N242">
        <f t="shared" si="3"/>
        <v>245.35000000001571</v>
      </c>
    </row>
    <row r="243" spans="1:14" x14ac:dyDescent="0.35">
      <c r="A243" t="s">
        <v>472</v>
      </c>
      <c r="B243" t="s">
        <v>473</v>
      </c>
      <c r="C243" t="s">
        <v>13</v>
      </c>
      <c r="D243">
        <v>24278.6</v>
      </c>
      <c r="E243">
        <v>24258.3</v>
      </c>
      <c r="F243">
        <v>24319.199999999899</v>
      </c>
      <c r="G243">
        <v>24258.3</v>
      </c>
      <c r="H243" t="s">
        <v>16</v>
      </c>
      <c r="I243">
        <v>20.299999999999201</v>
      </c>
      <c r="J243">
        <v>40.599999999998502</v>
      </c>
      <c r="K243">
        <v>-20.299999999999201</v>
      </c>
      <c r="L243">
        <f>SUM($K$2:K243)</f>
        <v>853.45000000001778</v>
      </c>
      <c r="M243">
        <f>MAX($L$2:L243)</f>
        <v>1119.1000000000327</v>
      </c>
      <c r="N243">
        <f t="shared" si="3"/>
        <v>265.65000000001487</v>
      </c>
    </row>
    <row r="244" spans="1:14" x14ac:dyDescent="0.35">
      <c r="A244" t="s">
        <v>474</v>
      </c>
      <c r="B244" t="s">
        <v>475</v>
      </c>
      <c r="C244" t="s">
        <v>13</v>
      </c>
      <c r="D244">
        <v>24276.55</v>
      </c>
      <c r="E244">
        <v>24265</v>
      </c>
      <c r="F244">
        <v>24299.6499999999</v>
      </c>
      <c r="G244">
        <v>24265</v>
      </c>
      <c r="H244" t="s">
        <v>16</v>
      </c>
      <c r="I244">
        <v>11.5499999999992</v>
      </c>
      <c r="J244">
        <v>23.099999999998499</v>
      </c>
      <c r="K244">
        <v>-11.5499999999992</v>
      </c>
      <c r="L244">
        <f>SUM($K$2:K244)</f>
        <v>841.90000000001862</v>
      </c>
      <c r="M244">
        <f>MAX($L$2:L244)</f>
        <v>1119.1000000000327</v>
      </c>
      <c r="N244">
        <f t="shared" si="3"/>
        <v>277.20000000001403</v>
      </c>
    </row>
    <row r="245" spans="1:14" x14ac:dyDescent="0.35">
      <c r="A245" t="s">
        <v>476</v>
      </c>
      <c r="B245" t="s">
        <v>477</v>
      </c>
      <c r="C245" t="s">
        <v>32</v>
      </c>
      <c r="D245">
        <v>24321.5</v>
      </c>
      <c r="E245">
        <v>24333.9</v>
      </c>
      <c r="F245">
        <v>24296.699999999899</v>
      </c>
      <c r="G245">
        <v>24333.9</v>
      </c>
      <c r="H245" t="s">
        <v>16</v>
      </c>
      <c r="I245">
        <v>12.4000000000014</v>
      </c>
      <c r="J245">
        <v>24.8000000000029</v>
      </c>
      <c r="K245">
        <v>-12.4000000000014</v>
      </c>
      <c r="L245">
        <f>SUM($K$2:K245)</f>
        <v>829.50000000001717</v>
      </c>
      <c r="M245">
        <f>MAX($L$2:L245)</f>
        <v>1119.1000000000327</v>
      </c>
      <c r="N245">
        <f t="shared" si="3"/>
        <v>289.60000000001548</v>
      </c>
    </row>
    <row r="246" spans="1:14" x14ac:dyDescent="0.35">
      <c r="A246" t="s">
        <v>478</v>
      </c>
      <c r="B246" t="s">
        <v>479</v>
      </c>
      <c r="C246" t="s">
        <v>32</v>
      </c>
      <c r="D246">
        <v>24330.85</v>
      </c>
      <c r="E246">
        <v>24353.7</v>
      </c>
      <c r="F246">
        <v>24285.1499999999</v>
      </c>
      <c r="G246">
        <v>24353.7</v>
      </c>
      <c r="H246" t="s">
        <v>16</v>
      </c>
      <c r="I246">
        <v>22.850000000002101</v>
      </c>
      <c r="J246">
        <v>45.700000000004302</v>
      </c>
      <c r="K246">
        <v>-22.850000000002101</v>
      </c>
      <c r="L246">
        <f>SUM($K$2:K246)</f>
        <v>806.6500000000151</v>
      </c>
      <c r="M246">
        <f>MAX($L$2:L246)</f>
        <v>1119.1000000000327</v>
      </c>
      <c r="N246">
        <f t="shared" si="3"/>
        <v>312.45000000001755</v>
      </c>
    </row>
    <row r="247" spans="1:14" x14ac:dyDescent="0.35">
      <c r="A247" t="s">
        <v>480</v>
      </c>
      <c r="B247" t="s">
        <v>481</v>
      </c>
      <c r="C247" t="s">
        <v>32</v>
      </c>
      <c r="D247">
        <v>24317.599999999999</v>
      </c>
      <c r="E247">
        <v>24342.05</v>
      </c>
      <c r="F247">
        <v>24268.699999999899</v>
      </c>
      <c r="G247">
        <v>24342.05</v>
      </c>
      <c r="H247" t="s">
        <v>16</v>
      </c>
      <c r="I247">
        <v>24.450000000000699</v>
      </c>
      <c r="J247">
        <v>48.900000000001398</v>
      </c>
      <c r="K247">
        <v>-24.450000000000699</v>
      </c>
      <c r="L247">
        <f>SUM($K$2:K247)</f>
        <v>782.20000000001437</v>
      </c>
      <c r="M247">
        <f>MAX($L$2:L247)</f>
        <v>1119.1000000000327</v>
      </c>
      <c r="N247">
        <f t="shared" si="3"/>
        <v>336.90000000001828</v>
      </c>
    </row>
    <row r="248" spans="1:14" x14ac:dyDescent="0.35">
      <c r="A248" t="s">
        <v>482</v>
      </c>
      <c r="B248" t="s">
        <v>483</v>
      </c>
      <c r="C248" t="s">
        <v>13</v>
      </c>
      <c r="D248">
        <v>24381.55</v>
      </c>
      <c r="E248">
        <v>24346.3</v>
      </c>
      <c r="F248">
        <v>24452.05</v>
      </c>
      <c r="G248">
        <v>24346.3</v>
      </c>
      <c r="H248" t="s">
        <v>16</v>
      </c>
      <c r="I248">
        <v>35.25</v>
      </c>
      <c r="J248">
        <v>70.5</v>
      </c>
      <c r="K248">
        <v>-35.25</v>
      </c>
      <c r="L248">
        <f>SUM($K$2:K248)</f>
        <v>746.95000000001437</v>
      </c>
      <c r="M248">
        <f>MAX($L$2:L248)</f>
        <v>1119.1000000000327</v>
      </c>
      <c r="N248">
        <f t="shared" si="3"/>
        <v>372.15000000001828</v>
      </c>
    </row>
    <row r="249" spans="1:14" x14ac:dyDescent="0.35">
      <c r="A249" t="s">
        <v>484</v>
      </c>
      <c r="B249" t="s">
        <v>485</v>
      </c>
      <c r="C249" t="s">
        <v>13</v>
      </c>
      <c r="D249">
        <v>24520.7</v>
      </c>
      <c r="E249">
        <v>24468.6</v>
      </c>
      <c r="F249">
        <v>24624.9</v>
      </c>
      <c r="G249">
        <v>24468.6</v>
      </c>
      <c r="H249" t="s">
        <v>16</v>
      </c>
      <c r="I249">
        <v>52.100000000002098</v>
      </c>
      <c r="J249">
        <v>104.200000000004</v>
      </c>
      <c r="K249">
        <v>-52.100000000002098</v>
      </c>
      <c r="L249">
        <f>SUM($K$2:K249)</f>
        <v>694.8500000000123</v>
      </c>
      <c r="M249">
        <f>MAX($L$2:L249)</f>
        <v>1119.1000000000327</v>
      </c>
      <c r="N249">
        <f t="shared" si="3"/>
        <v>424.25000000002035</v>
      </c>
    </row>
    <row r="250" spans="1:14" x14ac:dyDescent="0.35">
      <c r="A250" t="s">
        <v>486</v>
      </c>
      <c r="B250" t="s">
        <v>487</v>
      </c>
      <c r="C250" t="s">
        <v>13</v>
      </c>
      <c r="D250">
        <v>24394.400000000001</v>
      </c>
      <c r="E250">
        <v>24359.65</v>
      </c>
      <c r="F250">
        <v>24463.9</v>
      </c>
      <c r="G250">
        <v>24359.65</v>
      </c>
      <c r="H250" t="s">
        <v>16</v>
      </c>
      <c r="I250">
        <v>34.75</v>
      </c>
      <c r="J250">
        <v>69.5</v>
      </c>
      <c r="K250">
        <v>-34.75</v>
      </c>
      <c r="L250">
        <f>SUM($K$2:K250)</f>
        <v>660.1000000000123</v>
      </c>
      <c r="M250">
        <f>MAX($L$2:L250)</f>
        <v>1119.1000000000327</v>
      </c>
      <c r="N250">
        <f t="shared" si="3"/>
        <v>459.00000000002035</v>
      </c>
    </row>
    <row r="251" spans="1:14" x14ac:dyDescent="0.35">
      <c r="A251" t="s">
        <v>488</v>
      </c>
      <c r="B251" t="s">
        <v>489</v>
      </c>
      <c r="C251" t="s">
        <v>32</v>
      </c>
      <c r="D251">
        <v>24432.799999999999</v>
      </c>
      <c r="E251">
        <v>24450</v>
      </c>
      <c r="F251">
        <v>24398.3999999999</v>
      </c>
      <c r="G251">
        <v>24450</v>
      </c>
      <c r="H251" t="s">
        <v>16</v>
      </c>
      <c r="I251">
        <v>17.200000000000699</v>
      </c>
      <c r="J251">
        <v>34.400000000001398</v>
      </c>
      <c r="K251">
        <v>-17.200000000000699</v>
      </c>
      <c r="L251">
        <f>SUM($K$2:K251)</f>
        <v>642.90000000001157</v>
      </c>
      <c r="M251">
        <f>MAX($L$2:L251)</f>
        <v>1119.1000000000327</v>
      </c>
      <c r="N251">
        <f t="shared" si="3"/>
        <v>476.20000000002108</v>
      </c>
    </row>
    <row r="252" spans="1:14" x14ac:dyDescent="0.35">
      <c r="A252" t="s">
        <v>490</v>
      </c>
      <c r="B252" t="s">
        <v>491</v>
      </c>
      <c r="C252" t="s">
        <v>32</v>
      </c>
      <c r="D252">
        <v>24455.85</v>
      </c>
      <c r="E252">
        <v>24509.65</v>
      </c>
      <c r="F252">
        <v>24348.249999999902</v>
      </c>
      <c r="G252">
        <v>24348.249999999902</v>
      </c>
      <c r="H252" t="s">
        <v>14</v>
      </c>
      <c r="I252">
        <v>53.800000000002903</v>
      </c>
      <c r="J252">
        <v>107.600000000005</v>
      </c>
      <c r="K252">
        <v>107.600000000005</v>
      </c>
      <c r="L252">
        <f>SUM($K$2:K252)</f>
        <v>750.5000000000166</v>
      </c>
      <c r="M252">
        <f>MAX($L$2:L252)</f>
        <v>1119.1000000000327</v>
      </c>
      <c r="N252">
        <f t="shared" si="3"/>
        <v>368.60000000001605</v>
      </c>
    </row>
    <row r="253" spans="1:14" x14ac:dyDescent="0.35">
      <c r="A253" t="s">
        <v>492</v>
      </c>
      <c r="B253" t="s">
        <v>493</v>
      </c>
      <c r="C253" t="s">
        <v>32</v>
      </c>
      <c r="D253">
        <v>24304.95</v>
      </c>
      <c r="E253">
        <v>24357.05</v>
      </c>
      <c r="F253">
        <v>24200.75</v>
      </c>
      <c r="G253">
        <v>24357.05</v>
      </c>
      <c r="H253" t="s">
        <v>16</v>
      </c>
      <c r="I253">
        <v>52.099999999998502</v>
      </c>
      <c r="J253">
        <v>104.199999999997</v>
      </c>
      <c r="K253">
        <v>-52.099999999998502</v>
      </c>
      <c r="L253">
        <f>SUM($K$2:K253)</f>
        <v>698.40000000001805</v>
      </c>
      <c r="M253">
        <f>MAX($L$2:L253)</f>
        <v>1119.1000000000327</v>
      </c>
      <c r="N253">
        <f t="shared" si="3"/>
        <v>420.7000000000146</v>
      </c>
    </row>
    <row r="254" spans="1:14" x14ac:dyDescent="0.35">
      <c r="A254" t="s">
        <v>493</v>
      </c>
      <c r="B254" t="s">
        <v>494</v>
      </c>
      <c r="C254" t="s">
        <v>32</v>
      </c>
      <c r="D254">
        <v>24329.25</v>
      </c>
      <c r="E254">
        <v>24359.65</v>
      </c>
      <c r="F254">
        <v>24268.449999999899</v>
      </c>
      <c r="G254">
        <v>24359.65</v>
      </c>
      <c r="H254" t="s">
        <v>16</v>
      </c>
      <c r="I254">
        <v>30.400000000001398</v>
      </c>
      <c r="J254">
        <v>60.800000000002903</v>
      </c>
      <c r="K254">
        <v>-30.400000000001398</v>
      </c>
      <c r="L254">
        <f>SUM($K$2:K254)</f>
        <v>668.0000000000166</v>
      </c>
      <c r="M254">
        <f>MAX($L$2:L254)</f>
        <v>1119.1000000000327</v>
      </c>
      <c r="N254">
        <f t="shared" si="3"/>
        <v>451.10000000001605</v>
      </c>
    </row>
    <row r="255" spans="1:14" x14ac:dyDescent="0.35">
      <c r="A255" t="s">
        <v>495</v>
      </c>
      <c r="B255" t="s">
        <v>496</v>
      </c>
      <c r="C255" t="s">
        <v>13</v>
      </c>
      <c r="D255">
        <v>24409.95</v>
      </c>
      <c r="E255">
        <v>24381.95</v>
      </c>
      <c r="F255">
        <v>24465.95</v>
      </c>
      <c r="G255">
        <v>24381.95</v>
      </c>
      <c r="H255" t="s">
        <v>16</v>
      </c>
      <c r="I255">
        <v>28</v>
      </c>
      <c r="J255">
        <v>56</v>
      </c>
      <c r="K255">
        <v>-28</v>
      </c>
      <c r="L255">
        <f>SUM($K$2:K255)</f>
        <v>640.0000000000166</v>
      </c>
      <c r="M255">
        <f>MAX($L$2:L255)</f>
        <v>1119.1000000000327</v>
      </c>
      <c r="N255">
        <f t="shared" si="3"/>
        <v>479.10000000001605</v>
      </c>
    </row>
    <row r="256" spans="1:14" x14ac:dyDescent="0.35">
      <c r="A256" t="s">
        <v>497</v>
      </c>
      <c r="B256" t="s">
        <v>498</v>
      </c>
      <c r="C256" t="s">
        <v>32</v>
      </c>
      <c r="D256">
        <v>24355.55</v>
      </c>
      <c r="E256">
        <v>24378.35</v>
      </c>
      <c r="F256">
        <v>24309.95</v>
      </c>
      <c r="G256">
        <v>24309.95</v>
      </c>
      <c r="H256" t="s">
        <v>14</v>
      </c>
      <c r="I256">
        <v>22.799999999999201</v>
      </c>
      <c r="J256">
        <v>45.599999999998502</v>
      </c>
      <c r="K256">
        <v>45.599999999998502</v>
      </c>
      <c r="L256">
        <f>SUM($K$2:K256)</f>
        <v>685.60000000001514</v>
      </c>
      <c r="M256">
        <f>MAX($L$2:L256)</f>
        <v>1119.1000000000327</v>
      </c>
      <c r="N256">
        <f t="shared" si="3"/>
        <v>433.50000000001751</v>
      </c>
    </row>
    <row r="257" spans="1:14" x14ac:dyDescent="0.35">
      <c r="A257" t="s">
        <v>498</v>
      </c>
      <c r="B257" t="s">
        <v>499</v>
      </c>
      <c r="C257" t="s">
        <v>32</v>
      </c>
      <c r="D257">
        <v>24318.35</v>
      </c>
      <c r="E257">
        <v>24339.9</v>
      </c>
      <c r="F257">
        <v>24275.249999999902</v>
      </c>
      <c r="G257">
        <v>24275.249999999902</v>
      </c>
      <c r="H257" t="s">
        <v>14</v>
      </c>
      <c r="I257">
        <v>21.5500000000029</v>
      </c>
      <c r="J257">
        <v>43.100000000005799</v>
      </c>
      <c r="K257">
        <v>43.100000000005799</v>
      </c>
      <c r="L257">
        <f>SUM($K$2:K257)</f>
        <v>728.70000000002096</v>
      </c>
      <c r="M257">
        <f>MAX($L$2:L257)</f>
        <v>1119.1000000000327</v>
      </c>
      <c r="N257">
        <f t="shared" si="3"/>
        <v>390.40000000001169</v>
      </c>
    </row>
    <row r="258" spans="1:14" x14ac:dyDescent="0.35">
      <c r="A258" t="s">
        <v>499</v>
      </c>
      <c r="B258" t="s">
        <v>500</v>
      </c>
      <c r="C258" t="s">
        <v>32</v>
      </c>
      <c r="D258">
        <v>24263.05</v>
      </c>
      <c r="E258">
        <v>24317.85</v>
      </c>
      <c r="F258">
        <v>24153.45</v>
      </c>
      <c r="G258">
        <v>24317.85</v>
      </c>
      <c r="H258" t="s">
        <v>16</v>
      </c>
      <c r="I258">
        <v>54.799999999999201</v>
      </c>
      <c r="J258">
        <v>109.599999999998</v>
      </c>
      <c r="K258">
        <v>-54.799999999999201</v>
      </c>
      <c r="L258">
        <f>SUM($K$2:K258)</f>
        <v>673.90000000002181</v>
      </c>
      <c r="M258">
        <f>MAX($L$2:L258)</f>
        <v>1119.1000000000327</v>
      </c>
      <c r="N258">
        <f t="shared" ref="N258:N321" si="4">M258-L258</f>
        <v>445.20000000001085</v>
      </c>
    </row>
    <row r="259" spans="1:14" x14ac:dyDescent="0.35">
      <c r="A259" t="s">
        <v>501</v>
      </c>
      <c r="B259" t="s">
        <v>502</v>
      </c>
      <c r="C259" t="s">
        <v>32</v>
      </c>
      <c r="D259">
        <v>24048.9</v>
      </c>
      <c r="E259">
        <v>24086.75</v>
      </c>
      <c r="F259">
        <v>23973.200000000001</v>
      </c>
      <c r="G259">
        <v>24086.75</v>
      </c>
      <c r="H259" t="s">
        <v>16</v>
      </c>
      <c r="I259">
        <v>37.849999999998502</v>
      </c>
      <c r="J259">
        <v>75.699999999997004</v>
      </c>
      <c r="K259">
        <v>-37.849999999998502</v>
      </c>
      <c r="L259">
        <f>SUM($K$2:K259)</f>
        <v>636.05000000002326</v>
      </c>
      <c r="M259">
        <f>MAX($L$2:L259)</f>
        <v>1119.1000000000327</v>
      </c>
      <c r="N259">
        <f t="shared" si="4"/>
        <v>483.05000000000939</v>
      </c>
    </row>
    <row r="260" spans="1:14" x14ac:dyDescent="0.35">
      <c r="A260" t="s">
        <v>503</v>
      </c>
      <c r="B260" t="s">
        <v>504</v>
      </c>
      <c r="C260" t="s">
        <v>32</v>
      </c>
      <c r="D260">
        <v>24025.95</v>
      </c>
      <c r="E260">
        <v>24056.1</v>
      </c>
      <c r="F260">
        <v>23965.65</v>
      </c>
      <c r="G260">
        <v>23965.65</v>
      </c>
      <c r="H260" t="s">
        <v>14</v>
      </c>
      <c r="I260">
        <v>30.149999999997799</v>
      </c>
      <c r="J260">
        <v>60.299999999995599</v>
      </c>
      <c r="K260">
        <v>60.299999999995599</v>
      </c>
      <c r="L260">
        <f>SUM($K$2:K260)</f>
        <v>696.35000000001889</v>
      </c>
      <c r="M260">
        <f>MAX($L$2:L260)</f>
        <v>1119.1000000000327</v>
      </c>
      <c r="N260">
        <f t="shared" si="4"/>
        <v>422.75000000001376</v>
      </c>
    </row>
    <row r="261" spans="1:14" x14ac:dyDescent="0.35">
      <c r="A261" t="s">
        <v>505</v>
      </c>
      <c r="B261" t="s">
        <v>506</v>
      </c>
      <c r="C261" t="s">
        <v>32</v>
      </c>
      <c r="D261">
        <v>23980.75</v>
      </c>
      <c r="E261">
        <v>24013.35</v>
      </c>
      <c r="F261">
        <v>23915.55</v>
      </c>
      <c r="G261">
        <v>24013.35</v>
      </c>
      <c r="H261" t="s">
        <v>16</v>
      </c>
      <c r="I261">
        <v>32.599999999998502</v>
      </c>
      <c r="J261">
        <v>65.199999999997004</v>
      </c>
      <c r="K261">
        <v>-32.599999999998502</v>
      </c>
      <c r="L261">
        <f>SUM($K$2:K261)</f>
        <v>663.75000000002035</v>
      </c>
      <c r="M261">
        <f>MAX($L$2:L261)</f>
        <v>1119.1000000000327</v>
      </c>
      <c r="N261">
        <f t="shared" si="4"/>
        <v>455.3500000000123</v>
      </c>
    </row>
    <row r="262" spans="1:14" x14ac:dyDescent="0.35">
      <c r="A262" t="s">
        <v>507</v>
      </c>
      <c r="B262" t="s">
        <v>508</v>
      </c>
      <c r="C262" t="s">
        <v>13</v>
      </c>
      <c r="D262">
        <v>24866.2</v>
      </c>
      <c r="E262">
        <v>24836.65</v>
      </c>
      <c r="F262">
        <v>24925.3</v>
      </c>
      <c r="G262">
        <v>24925.3</v>
      </c>
      <c r="H262" t="s">
        <v>14</v>
      </c>
      <c r="I262">
        <v>29.549999999999201</v>
      </c>
      <c r="J262">
        <v>59.099999999998502</v>
      </c>
      <c r="K262">
        <v>59.099999999998502</v>
      </c>
      <c r="L262">
        <f>SUM($K$2:K262)</f>
        <v>722.85000000001889</v>
      </c>
      <c r="M262">
        <f>MAX($L$2:L262)</f>
        <v>1119.1000000000327</v>
      </c>
      <c r="N262">
        <f t="shared" si="4"/>
        <v>396.25000000001376</v>
      </c>
    </row>
    <row r="263" spans="1:14" x14ac:dyDescent="0.35">
      <c r="A263" t="s">
        <v>509</v>
      </c>
      <c r="B263" t="s">
        <v>510</v>
      </c>
      <c r="C263" t="s">
        <v>32</v>
      </c>
      <c r="D263">
        <v>24751.7</v>
      </c>
      <c r="E263">
        <v>24797.599999999999</v>
      </c>
      <c r="F263">
        <v>24659.9</v>
      </c>
      <c r="G263">
        <v>24659.9</v>
      </c>
      <c r="H263" t="s">
        <v>14</v>
      </c>
      <c r="I263">
        <v>45.899999999997803</v>
      </c>
      <c r="J263">
        <v>91.799999999995606</v>
      </c>
      <c r="K263">
        <v>91.799999999995606</v>
      </c>
      <c r="L263">
        <f>SUM($K$2:K263)</f>
        <v>814.65000000001453</v>
      </c>
      <c r="M263">
        <f>MAX($L$2:L263)</f>
        <v>1119.1000000000327</v>
      </c>
      <c r="N263">
        <f t="shared" si="4"/>
        <v>304.45000000001812</v>
      </c>
    </row>
    <row r="264" spans="1:14" x14ac:dyDescent="0.35">
      <c r="A264" t="s">
        <v>510</v>
      </c>
      <c r="B264" t="s">
        <v>511</v>
      </c>
      <c r="C264" t="s">
        <v>32</v>
      </c>
      <c r="D264">
        <v>24658.2</v>
      </c>
      <c r="E264">
        <v>24758.05</v>
      </c>
      <c r="F264">
        <v>24458.5</v>
      </c>
      <c r="G264">
        <v>24758.05</v>
      </c>
      <c r="H264" t="s">
        <v>16</v>
      </c>
      <c r="I264">
        <v>99.849999999998502</v>
      </c>
      <c r="J264">
        <v>199.699999999997</v>
      </c>
      <c r="K264">
        <v>-99.849999999998502</v>
      </c>
      <c r="L264">
        <f>SUM($K$2:K264)</f>
        <v>714.80000000001598</v>
      </c>
      <c r="M264">
        <f>MAX($L$2:L264)</f>
        <v>1119.1000000000327</v>
      </c>
      <c r="N264">
        <f t="shared" si="4"/>
        <v>404.30000000001667</v>
      </c>
    </row>
    <row r="265" spans="1:14" x14ac:dyDescent="0.35">
      <c r="A265" t="s">
        <v>512</v>
      </c>
      <c r="B265" t="s">
        <v>513</v>
      </c>
      <c r="C265" t="s">
        <v>32</v>
      </c>
      <c r="D265">
        <v>24722.3</v>
      </c>
      <c r="E265">
        <v>24744.9</v>
      </c>
      <c r="F265">
        <v>24677.0999999999</v>
      </c>
      <c r="G265">
        <v>24744.9</v>
      </c>
      <c r="H265" t="s">
        <v>16</v>
      </c>
      <c r="I265">
        <v>22.600000000002101</v>
      </c>
      <c r="J265">
        <v>45.200000000004302</v>
      </c>
      <c r="K265">
        <v>-22.600000000002101</v>
      </c>
      <c r="L265">
        <f>SUM($K$2:K265)</f>
        <v>692.20000000001392</v>
      </c>
      <c r="M265">
        <f>MAX($L$2:L265)</f>
        <v>1119.1000000000327</v>
      </c>
      <c r="N265">
        <f t="shared" si="4"/>
        <v>426.90000000001874</v>
      </c>
    </row>
    <row r="266" spans="1:14" x14ac:dyDescent="0.35">
      <c r="A266" t="s">
        <v>514</v>
      </c>
      <c r="B266" t="s">
        <v>515</v>
      </c>
      <c r="C266" t="s">
        <v>13</v>
      </c>
      <c r="D266">
        <v>24733.8</v>
      </c>
      <c r="E266">
        <v>24719.95</v>
      </c>
      <c r="F266">
        <v>24761.499999999902</v>
      </c>
      <c r="G266">
        <v>24719.95</v>
      </c>
      <c r="H266" t="s">
        <v>16</v>
      </c>
      <c r="I266">
        <v>13.8499999999985</v>
      </c>
      <c r="J266">
        <v>27.699999999997001</v>
      </c>
      <c r="K266">
        <v>-13.8499999999985</v>
      </c>
      <c r="L266">
        <f>SUM($K$2:K266)</f>
        <v>678.35000000001537</v>
      </c>
      <c r="M266">
        <f>MAX($L$2:L266)</f>
        <v>1119.1000000000327</v>
      </c>
      <c r="N266">
        <f t="shared" si="4"/>
        <v>440.75000000001728</v>
      </c>
    </row>
    <row r="267" spans="1:14" x14ac:dyDescent="0.35">
      <c r="A267" t="s">
        <v>516</v>
      </c>
      <c r="B267" t="s">
        <v>517</v>
      </c>
      <c r="C267" t="s">
        <v>32</v>
      </c>
      <c r="D267">
        <v>24640.799999999999</v>
      </c>
      <c r="E267">
        <v>24686.55</v>
      </c>
      <c r="F267">
        <v>24549.3</v>
      </c>
      <c r="G267">
        <v>24549.3</v>
      </c>
      <c r="H267" t="s">
        <v>14</v>
      </c>
      <c r="I267">
        <v>45.75</v>
      </c>
      <c r="J267">
        <v>91.5</v>
      </c>
      <c r="K267">
        <v>91.5</v>
      </c>
      <c r="L267">
        <f>SUM($K$2:K267)</f>
        <v>769.85000000001537</v>
      </c>
      <c r="M267">
        <f>MAX($L$2:L267)</f>
        <v>1119.1000000000327</v>
      </c>
      <c r="N267">
        <f t="shared" si="4"/>
        <v>349.25000000001728</v>
      </c>
    </row>
    <row r="268" spans="1:14" x14ac:dyDescent="0.35">
      <c r="A268" t="s">
        <v>518</v>
      </c>
      <c r="B268" t="s">
        <v>519</v>
      </c>
      <c r="C268" t="s">
        <v>32</v>
      </c>
      <c r="D268">
        <v>24622.2</v>
      </c>
      <c r="E268">
        <v>24643.15</v>
      </c>
      <c r="F268">
        <v>24580.3</v>
      </c>
      <c r="G268">
        <v>24643.15</v>
      </c>
      <c r="H268" t="s">
        <v>16</v>
      </c>
      <c r="I268">
        <v>20.950000000000699</v>
      </c>
      <c r="J268">
        <v>41.900000000001398</v>
      </c>
      <c r="K268">
        <v>-20.950000000000699</v>
      </c>
      <c r="L268">
        <f>SUM($K$2:K268)</f>
        <v>748.90000000001464</v>
      </c>
      <c r="M268">
        <f>MAX($L$2:L268)</f>
        <v>1119.1000000000327</v>
      </c>
      <c r="N268">
        <f t="shared" si="4"/>
        <v>370.20000000001801</v>
      </c>
    </row>
    <row r="269" spans="1:14" x14ac:dyDescent="0.35">
      <c r="A269" t="s">
        <v>520</v>
      </c>
      <c r="B269" t="s">
        <v>521</v>
      </c>
      <c r="C269" t="s">
        <v>13</v>
      </c>
      <c r="D269">
        <v>24621.7</v>
      </c>
      <c r="E269">
        <v>24584.65</v>
      </c>
      <c r="F269">
        <v>24695.8</v>
      </c>
      <c r="G269">
        <v>24584.65</v>
      </c>
      <c r="H269" t="s">
        <v>16</v>
      </c>
      <c r="I269">
        <v>37.049999999999201</v>
      </c>
      <c r="J269">
        <v>74.099999999998502</v>
      </c>
      <c r="K269">
        <v>-37.049999999999201</v>
      </c>
      <c r="L269">
        <f>SUM($K$2:K269)</f>
        <v>711.85000000001548</v>
      </c>
      <c r="M269">
        <f>MAX($L$2:L269)</f>
        <v>1119.1000000000327</v>
      </c>
      <c r="N269">
        <f t="shared" si="4"/>
        <v>407.25000000001717</v>
      </c>
    </row>
    <row r="270" spans="1:14" x14ac:dyDescent="0.35">
      <c r="A270" t="s">
        <v>522</v>
      </c>
      <c r="B270" t="s">
        <v>523</v>
      </c>
      <c r="C270" t="s">
        <v>32</v>
      </c>
      <c r="D270">
        <v>24546.6</v>
      </c>
      <c r="E270">
        <v>24586.799999999999</v>
      </c>
      <c r="F270">
        <v>24466.199999999899</v>
      </c>
      <c r="G270">
        <v>24586.799999999999</v>
      </c>
      <c r="H270" t="s">
        <v>16</v>
      </c>
      <c r="I270">
        <v>40.200000000000699</v>
      </c>
      <c r="J270">
        <v>80.400000000001398</v>
      </c>
      <c r="K270">
        <v>-40.200000000000699</v>
      </c>
      <c r="L270">
        <f>SUM($K$2:K270)</f>
        <v>671.65000000001476</v>
      </c>
      <c r="M270">
        <f>MAX($L$2:L270)</f>
        <v>1119.1000000000327</v>
      </c>
      <c r="N270">
        <f t="shared" si="4"/>
        <v>447.45000000001789</v>
      </c>
    </row>
    <row r="271" spans="1:14" x14ac:dyDescent="0.35">
      <c r="A271" t="s">
        <v>524</v>
      </c>
      <c r="B271" t="s">
        <v>525</v>
      </c>
      <c r="C271" t="s">
        <v>32</v>
      </c>
      <c r="D271">
        <v>24989.45</v>
      </c>
      <c r="E271">
        <v>25001.45</v>
      </c>
      <c r="F271">
        <v>24965.45</v>
      </c>
      <c r="G271">
        <v>24965.45</v>
      </c>
      <c r="H271" t="s">
        <v>14</v>
      </c>
      <c r="I271">
        <v>12</v>
      </c>
      <c r="J271">
        <v>24</v>
      </c>
      <c r="K271">
        <v>24</v>
      </c>
      <c r="L271">
        <f>SUM($K$2:K271)</f>
        <v>695.65000000001476</v>
      </c>
      <c r="M271">
        <f>MAX($L$2:L271)</f>
        <v>1119.1000000000327</v>
      </c>
      <c r="N271">
        <f t="shared" si="4"/>
        <v>423.45000000001789</v>
      </c>
    </row>
    <row r="272" spans="1:14" x14ac:dyDescent="0.35">
      <c r="A272" t="s">
        <v>525</v>
      </c>
      <c r="B272" t="s">
        <v>526</v>
      </c>
      <c r="C272" t="s">
        <v>32</v>
      </c>
      <c r="D272">
        <v>24956.5</v>
      </c>
      <c r="E272">
        <v>24989.200000000001</v>
      </c>
      <c r="F272">
        <v>24891.1</v>
      </c>
      <c r="G272">
        <v>24989.200000000001</v>
      </c>
      <c r="H272" t="s">
        <v>16</v>
      </c>
      <c r="I272">
        <v>32.700000000000699</v>
      </c>
      <c r="J272">
        <v>65.400000000001398</v>
      </c>
      <c r="K272">
        <v>-32.700000000000699</v>
      </c>
      <c r="L272">
        <f>SUM($K$2:K272)</f>
        <v>662.95000000001403</v>
      </c>
      <c r="M272">
        <f>MAX($L$2:L272)</f>
        <v>1119.1000000000327</v>
      </c>
      <c r="N272">
        <f t="shared" si="4"/>
        <v>456.15000000001862</v>
      </c>
    </row>
    <row r="273" spans="1:14" x14ac:dyDescent="0.35">
      <c r="A273" t="s">
        <v>527</v>
      </c>
      <c r="B273" t="s">
        <v>528</v>
      </c>
      <c r="C273" t="s">
        <v>13</v>
      </c>
      <c r="D273">
        <v>25029.75</v>
      </c>
      <c r="E273">
        <v>25007.45</v>
      </c>
      <c r="F273">
        <v>25074.35</v>
      </c>
      <c r="G273">
        <v>25007.45</v>
      </c>
      <c r="H273" t="s">
        <v>16</v>
      </c>
      <c r="I273">
        <v>22.299999999999201</v>
      </c>
      <c r="J273">
        <v>44.599999999998502</v>
      </c>
      <c r="K273">
        <v>-22.299999999999201</v>
      </c>
      <c r="L273">
        <f>SUM($K$2:K273)</f>
        <v>640.65000000001487</v>
      </c>
      <c r="M273">
        <f>MAX($L$2:L273)</f>
        <v>1119.1000000000327</v>
      </c>
      <c r="N273">
        <f t="shared" si="4"/>
        <v>478.45000000001778</v>
      </c>
    </row>
    <row r="274" spans="1:14" x14ac:dyDescent="0.35">
      <c r="A274" t="s">
        <v>529</v>
      </c>
      <c r="B274" t="s">
        <v>530</v>
      </c>
      <c r="C274" t="s">
        <v>13</v>
      </c>
      <c r="D274">
        <v>25044.85</v>
      </c>
      <c r="E274">
        <v>25006.15</v>
      </c>
      <c r="F274">
        <v>25122.249999999902</v>
      </c>
      <c r="G274">
        <v>25006.15</v>
      </c>
      <c r="H274" t="s">
        <v>16</v>
      </c>
      <c r="I274">
        <v>38.699999999996997</v>
      </c>
      <c r="J274">
        <v>77.399999999994094</v>
      </c>
      <c r="K274">
        <v>-38.699999999996997</v>
      </c>
      <c r="L274">
        <f>SUM($K$2:K274)</f>
        <v>601.95000000001789</v>
      </c>
      <c r="M274">
        <f>MAX($L$2:L274)</f>
        <v>1119.1000000000327</v>
      </c>
      <c r="N274">
        <f t="shared" si="4"/>
        <v>517.15000000001476</v>
      </c>
    </row>
    <row r="275" spans="1:14" x14ac:dyDescent="0.35">
      <c r="A275" t="s">
        <v>531</v>
      </c>
      <c r="B275" t="s">
        <v>532</v>
      </c>
      <c r="C275" t="s">
        <v>13</v>
      </c>
      <c r="D275">
        <v>25032.9</v>
      </c>
      <c r="E275">
        <v>25013.5</v>
      </c>
      <c r="F275">
        <v>25071.7</v>
      </c>
      <c r="G275">
        <v>25013.5</v>
      </c>
      <c r="H275" t="s">
        <v>16</v>
      </c>
      <c r="I275">
        <v>19.400000000001398</v>
      </c>
      <c r="J275">
        <v>38.800000000002903</v>
      </c>
      <c r="K275">
        <v>-19.400000000001398</v>
      </c>
      <c r="L275">
        <f>SUM($K$2:K275)</f>
        <v>582.55000000001655</v>
      </c>
      <c r="M275">
        <f>MAX($L$2:L275)</f>
        <v>1119.1000000000327</v>
      </c>
      <c r="N275">
        <f t="shared" si="4"/>
        <v>536.5500000000161</v>
      </c>
    </row>
    <row r="276" spans="1:14" x14ac:dyDescent="0.35">
      <c r="A276" t="s">
        <v>533</v>
      </c>
      <c r="B276" t="s">
        <v>534</v>
      </c>
      <c r="C276" t="s">
        <v>32</v>
      </c>
      <c r="D276">
        <v>24915.75</v>
      </c>
      <c r="E276">
        <v>24956.95</v>
      </c>
      <c r="F276">
        <v>24833.35</v>
      </c>
      <c r="G276">
        <v>24956.95</v>
      </c>
      <c r="H276" t="s">
        <v>16</v>
      </c>
      <c r="I276">
        <v>41.200000000000699</v>
      </c>
      <c r="J276">
        <v>82.400000000001398</v>
      </c>
      <c r="K276">
        <v>-41.200000000000699</v>
      </c>
      <c r="L276">
        <f>SUM($K$2:K276)</f>
        <v>541.35000000001583</v>
      </c>
      <c r="M276">
        <f>MAX($L$2:L276)</f>
        <v>1119.1000000000327</v>
      </c>
      <c r="N276">
        <f t="shared" si="4"/>
        <v>577.75000000001683</v>
      </c>
    </row>
    <row r="277" spans="1:14" x14ac:dyDescent="0.35">
      <c r="A277" t="s">
        <v>535</v>
      </c>
      <c r="B277" t="s">
        <v>536</v>
      </c>
      <c r="C277" t="s">
        <v>32</v>
      </c>
      <c r="D277">
        <v>24881.95</v>
      </c>
      <c r="E277">
        <v>24901.15</v>
      </c>
      <c r="F277">
        <v>24843.55</v>
      </c>
      <c r="G277">
        <v>24843.55</v>
      </c>
      <c r="H277" t="s">
        <v>14</v>
      </c>
      <c r="I277">
        <v>19.200000000000699</v>
      </c>
      <c r="J277">
        <v>38.400000000001398</v>
      </c>
      <c r="K277">
        <v>38.400000000001398</v>
      </c>
      <c r="L277">
        <f>SUM($K$2:K277)</f>
        <v>579.75000000001728</v>
      </c>
      <c r="M277">
        <f>MAX($L$2:L277)</f>
        <v>1119.1000000000327</v>
      </c>
      <c r="N277">
        <f t="shared" si="4"/>
        <v>539.35000000001537</v>
      </c>
    </row>
    <row r="278" spans="1:14" x14ac:dyDescent="0.35">
      <c r="A278" t="s">
        <v>536</v>
      </c>
      <c r="B278" t="s">
        <v>537</v>
      </c>
      <c r="C278" t="s">
        <v>32</v>
      </c>
      <c r="D278">
        <v>24832.05</v>
      </c>
      <c r="E278">
        <v>24865.05</v>
      </c>
      <c r="F278">
        <v>24766.05</v>
      </c>
      <c r="G278">
        <v>24766.05</v>
      </c>
      <c r="H278" t="s">
        <v>14</v>
      </c>
      <c r="I278">
        <v>33</v>
      </c>
      <c r="J278">
        <v>66</v>
      </c>
      <c r="K278">
        <v>66</v>
      </c>
      <c r="L278">
        <f>SUM($K$2:K278)</f>
        <v>645.75000000001728</v>
      </c>
      <c r="M278">
        <f>MAX($L$2:L278)</f>
        <v>1119.1000000000327</v>
      </c>
      <c r="N278">
        <f t="shared" si="4"/>
        <v>473.35000000001537</v>
      </c>
    </row>
    <row r="279" spans="1:14" x14ac:dyDescent="0.35">
      <c r="A279" t="s">
        <v>538</v>
      </c>
      <c r="B279" t="s">
        <v>539</v>
      </c>
      <c r="C279" t="s">
        <v>13</v>
      </c>
      <c r="D279">
        <v>24902.6</v>
      </c>
      <c r="E279">
        <v>24858.05</v>
      </c>
      <c r="F279">
        <v>24991.699999999899</v>
      </c>
      <c r="G279">
        <v>24858.05</v>
      </c>
      <c r="H279" t="s">
        <v>16</v>
      </c>
      <c r="I279">
        <v>44.549999999999201</v>
      </c>
      <c r="J279">
        <v>89.099999999998502</v>
      </c>
      <c r="K279">
        <v>-44.549999999999201</v>
      </c>
      <c r="L279">
        <f>SUM($K$2:K279)</f>
        <v>601.20000000001812</v>
      </c>
      <c r="M279">
        <f>MAX($L$2:L279)</f>
        <v>1119.1000000000327</v>
      </c>
      <c r="N279">
        <f t="shared" si="4"/>
        <v>517.90000000001453</v>
      </c>
    </row>
    <row r="280" spans="1:14" x14ac:dyDescent="0.35">
      <c r="A280" t="s">
        <v>540</v>
      </c>
      <c r="B280" t="s">
        <v>541</v>
      </c>
      <c r="C280" t="s">
        <v>32</v>
      </c>
      <c r="D280">
        <v>24780.3</v>
      </c>
      <c r="E280">
        <v>24803.4</v>
      </c>
      <c r="F280">
        <v>24734.0999999999</v>
      </c>
      <c r="G280">
        <v>24803.4</v>
      </c>
      <c r="H280" t="s">
        <v>16</v>
      </c>
      <c r="I280">
        <v>23.100000000002101</v>
      </c>
      <c r="J280">
        <v>46.200000000004302</v>
      </c>
      <c r="K280">
        <v>-23.100000000002101</v>
      </c>
      <c r="L280">
        <f>SUM($K$2:K280)</f>
        <v>578.10000000001605</v>
      </c>
      <c r="M280">
        <f>MAX($L$2:L280)</f>
        <v>1119.1000000000327</v>
      </c>
      <c r="N280">
        <f t="shared" si="4"/>
        <v>541.0000000000166</v>
      </c>
    </row>
    <row r="281" spans="1:14" x14ac:dyDescent="0.35">
      <c r="A281" t="s">
        <v>542</v>
      </c>
      <c r="B281" t="s">
        <v>543</v>
      </c>
      <c r="C281" t="s">
        <v>32</v>
      </c>
      <c r="D281">
        <v>24580.25</v>
      </c>
      <c r="E281">
        <v>24615.65</v>
      </c>
      <c r="F281">
        <v>24509.449999999899</v>
      </c>
      <c r="G281">
        <v>24615.65</v>
      </c>
      <c r="H281" t="s">
        <v>16</v>
      </c>
      <c r="I281">
        <v>35.400000000001398</v>
      </c>
      <c r="J281">
        <v>70.800000000002896</v>
      </c>
      <c r="K281">
        <v>-35.400000000001398</v>
      </c>
      <c r="L281">
        <f>SUM($K$2:K281)</f>
        <v>542.7000000000146</v>
      </c>
      <c r="M281">
        <f>MAX($L$2:L281)</f>
        <v>1119.1000000000327</v>
      </c>
      <c r="N281">
        <f t="shared" si="4"/>
        <v>576.40000000001805</v>
      </c>
    </row>
    <row r="282" spans="1:14" x14ac:dyDescent="0.35">
      <c r="A282" t="s">
        <v>544</v>
      </c>
      <c r="B282" t="s">
        <v>545</v>
      </c>
      <c r="C282" t="s">
        <v>32</v>
      </c>
      <c r="D282">
        <v>24594.2</v>
      </c>
      <c r="E282">
        <v>24610.25</v>
      </c>
      <c r="F282">
        <v>24562.1</v>
      </c>
      <c r="G282">
        <v>24562.1</v>
      </c>
      <c r="H282" t="s">
        <v>14</v>
      </c>
      <c r="I282">
        <v>16.049999999999201</v>
      </c>
      <c r="J282">
        <v>32.099999999998502</v>
      </c>
      <c r="K282">
        <v>32.099999999998502</v>
      </c>
      <c r="L282">
        <f>SUM($K$2:K282)</f>
        <v>574.80000000001314</v>
      </c>
      <c r="M282">
        <f>MAX($L$2:L282)</f>
        <v>1119.1000000000327</v>
      </c>
      <c r="N282">
        <f t="shared" si="4"/>
        <v>544.30000000001951</v>
      </c>
    </row>
    <row r="283" spans="1:14" x14ac:dyDescent="0.35">
      <c r="A283" t="s">
        <v>545</v>
      </c>
      <c r="B283" t="s">
        <v>546</v>
      </c>
      <c r="C283" t="s">
        <v>32</v>
      </c>
      <c r="D283">
        <v>24559.55</v>
      </c>
      <c r="E283">
        <v>24593.35</v>
      </c>
      <c r="F283">
        <v>24491.95</v>
      </c>
      <c r="G283">
        <v>24593.35</v>
      </c>
      <c r="H283" t="s">
        <v>16</v>
      </c>
      <c r="I283">
        <v>33.799999999999201</v>
      </c>
      <c r="J283">
        <v>67.599999999998502</v>
      </c>
      <c r="K283">
        <v>-33.799999999999201</v>
      </c>
      <c r="L283">
        <f>SUM($K$2:K283)</f>
        <v>541.00000000001398</v>
      </c>
      <c r="M283">
        <f>MAX($L$2:L283)</f>
        <v>1119.1000000000327</v>
      </c>
      <c r="N283">
        <f t="shared" si="4"/>
        <v>578.10000000001867</v>
      </c>
    </row>
    <row r="284" spans="1:14" x14ac:dyDescent="0.35">
      <c r="A284" t="s">
        <v>547</v>
      </c>
      <c r="B284" t="s">
        <v>548</v>
      </c>
      <c r="C284" t="s">
        <v>13</v>
      </c>
      <c r="D284">
        <v>24882</v>
      </c>
      <c r="E284">
        <v>24854.15</v>
      </c>
      <c r="F284">
        <v>24937.699999999899</v>
      </c>
      <c r="G284">
        <v>24854.15</v>
      </c>
      <c r="H284" t="s">
        <v>16</v>
      </c>
      <c r="I284">
        <v>27.849999999998499</v>
      </c>
      <c r="J284">
        <v>55.699999999996997</v>
      </c>
      <c r="K284">
        <v>-27.849999999998499</v>
      </c>
      <c r="L284">
        <f>SUM($K$2:K284)</f>
        <v>513.15000000001544</v>
      </c>
      <c r="M284">
        <f>MAX($L$2:L284)</f>
        <v>1119.1000000000327</v>
      </c>
      <c r="N284">
        <f t="shared" si="4"/>
        <v>605.95000000001721</v>
      </c>
    </row>
    <row r="285" spans="1:14" x14ac:dyDescent="0.35">
      <c r="A285" t="s">
        <v>549</v>
      </c>
      <c r="B285" t="s">
        <v>550</v>
      </c>
      <c r="C285" t="s">
        <v>13</v>
      </c>
      <c r="D285">
        <v>24883.7</v>
      </c>
      <c r="E285">
        <v>24865.45</v>
      </c>
      <c r="F285">
        <v>24920.2</v>
      </c>
      <c r="G285">
        <v>24865.45</v>
      </c>
      <c r="H285" t="s">
        <v>16</v>
      </c>
      <c r="I285">
        <v>18.25</v>
      </c>
      <c r="J285">
        <v>36.5</v>
      </c>
      <c r="K285">
        <v>-18.25</v>
      </c>
      <c r="L285">
        <f>SUM($K$2:K285)</f>
        <v>494.90000000001544</v>
      </c>
      <c r="M285">
        <f>MAX($L$2:L285)</f>
        <v>1119.1000000000327</v>
      </c>
      <c r="N285">
        <f t="shared" si="4"/>
        <v>624.20000000001721</v>
      </c>
    </row>
    <row r="286" spans="1:14" x14ac:dyDescent="0.35">
      <c r="A286" t="s">
        <v>551</v>
      </c>
      <c r="B286" t="s">
        <v>552</v>
      </c>
      <c r="C286" t="s">
        <v>13</v>
      </c>
      <c r="D286">
        <v>24995.1</v>
      </c>
      <c r="E286">
        <v>24976.75</v>
      </c>
      <c r="F286">
        <v>25031.799999999901</v>
      </c>
      <c r="G286">
        <v>24976.75</v>
      </c>
      <c r="H286" t="s">
        <v>16</v>
      </c>
      <c r="I286">
        <v>18.349999999998499</v>
      </c>
      <c r="J286">
        <v>36.699999999996997</v>
      </c>
      <c r="K286">
        <v>-18.349999999998499</v>
      </c>
      <c r="L286">
        <f>SUM($K$2:K286)</f>
        <v>476.55000000001695</v>
      </c>
      <c r="M286">
        <f>MAX($L$2:L286)</f>
        <v>1119.1000000000327</v>
      </c>
      <c r="N286">
        <f t="shared" si="4"/>
        <v>642.55000000001564</v>
      </c>
    </row>
    <row r="287" spans="1:14" x14ac:dyDescent="0.35">
      <c r="A287" t="s">
        <v>553</v>
      </c>
      <c r="B287" t="s">
        <v>554</v>
      </c>
      <c r="C287" t="s">
        <v>13</v>
      </c>
      <c r="D287">
        <v>25001.5</v>
      </c>
      <c r="E287">
        <v>24984.45</v>
      </c>
      <c r="F287">
        <v>25035.599999999999</v>
      </c>
      <c r="G287">
        <v>24996.35</v>
      </c>
      <c r="H287" t="s">
        <v>23</v>
      </c>
      <c r="I287">
        <v>17.049999999999201</v>
      </c>
      <c r="J287">
        <v>34.099999999998502</v>
      </c>
      <c r="K287">
        <v>-5.1500000000014499</v>
      </c>
      <c r="L287">
        <f>SUM($K$2:K287)</f>
        <v>471.4000000000155</v>
      </c>
      <c r="M287">
        <f>MAX($L$2:L287)</f>
        <v>1119.1000000000327</v>
      </c>
      <c r="N287">
        <f t="shared" si="4"/>
        <v>647.7000000000171</v>
      </c>
    </row>
    <row r="288" spans="1:14" x14ac:dyDescent="0.35">
      <c r="A288" t="s">
        <v>555</v>
      </c>
      <c r="B288" t="s">
        <v>556</v>
      </c>
      <c r="C288" t="s">
        <v>32</v>
      </c>
      <c r="D288">
        <v>24874.3</v>
      </c>
      <c r="E288">
        <v>24976.1</v>
      </c>
      <c r="F288">
        <v>24670.7</v>
      </c>
      <c r="G288">
        <v>24976.1</v>
      </c>
      <c r="H288" t="s">
        <v>16</v>
      </c>
      <c r="I288">
        <v>101.799999999999</v>
      </c>
      <c r="J288">
        <v>203.599999999998</v>
      </c>
      <c r="K288">
        <v>-101.799999999999</v>
      </c>
      <c r="L288">
        <f>SUM($K$2:K288)</f>
        <v>369.60000000001651</v>
      </c>
      <c r="M288">
        <f>MAX($L$2:L288)</f>
        <v>1119.1000000000327</v>
      </c>
      <c r="N288">
        <f t="shared" si="4"/>
        <v>749.50000000001614</v>
      </c>
    </row>
    <row r="289" spans="1:14" x14ac:dyDescent="0.35">
      <c r="A289" t="s">
        <v>557</v>
      </c>
      <c r="B289" t="s">
        <v>558</v>
      </c>
      <c r="C289" t="s">
        <v>13</v>
      </c>
      <c r="D289">
        <v>24946.55</v>
      </c>
      <c r="E289">
        <v>24908</v>
      </c>
      <c r="F289">
        <v>25023.6499999999</v>
      </c>
      <c r="G289">
        <v>24908</v>
      </c>
      <c r="H289" t="s">
        <v>16</v>
      </c>
      <c r="I289">
        <v>38.549999999999201</v>
      </c>
      <c r="J289">
        <v>77.099999999998502</v>
      </c>
      <c r="K289">
        <v>-38.549999999999201</v>
      </c>
      <c r="L289">
        <f>SUM($K$2:K289)</f>
        <v>331.05000000001729</v>
      </c>
      <c r="M289">
        <f>MAX($L$2:L289)</f>
        <v>1119.1000000000327</v>
      </c>
      <c r="N289">
        <f t="shared" si="4"/>
        <v>788.05000000001542</v>
      </c>
    </row>
    <row r="290" spans="1:14" x14ac:dyDescent="0.35">
      <c r="A290" t="s">
        <v>559</v>
      </c>
      <c r="B290" t="s">
        <v>560</v>
      </c>
      <c r="C290" t="s">
        <v>32</v>
      </c>
      <c r="D290">
        <v>24782.799999999999</v>
      </c>
      <c r="E290">
        <v>24814.799999999999</v>
      </c>
      <c r="F290">
        <v>24718.799999999999</v>
      </c>
      <c r="G290">
        <v>24814.799999999999</v>
      </c>
      <c r="H290" t="s">
        <v>16</v>
      </c>
      <c r="I290">
        <v>32</v>
      </c>
      <c r="J290">
        <v>64</v>
      </c>
      <c r="K290">
        <v>-32</v>
      </c>
      <c r="L290">
        <f>SUM($K$2:K290)</f>
        <v>299.05000000001729</v>
      </c>
      <c r="M290">
        <f>MAX($L$2:L290)</f>
        <v>1119.1000000000327</v>
      </c>
      <c r="N290">
        <f t="shared" si="4"/>
        <v>820.05000000001542</v>
      </c>
    </row>
    <row r="291" spans="1:14" x14ac:dyDescent="0.35">
      <c r="A291" t="s">
        <v>561</v>
      </c>
      <c r="B291" t="s">
        <v>562</v>
      </c>
      <c r="C291" t="s">
        <v>13</v>
      </c>
      <c r="D291">
        <v>24820.85</v>
      </c>
      <c r="E291">
        <v>24802.6</v>
      </c>
      <c r="F291">
        <v>24857.35</v>
      </c>
      <c r="G291">
        <v>24802.6</v>
      </c>
      <c r="H291" t="s">
        <v>16</v>
      </c>
      <c r="I291">
        <v>18.25</v>
      </c>
      <c r="J291">
        <v>36.5</v>
      </c>
      <c r="K291">
        <v>-18.25</v>
      </c>
      <c r="L291">
        <f>SUM($K$2:K291)</f>
        <v>280.80000000001729</v>
      </c>
      <c r="M291">
        <f>MAX($L$2:L291)</f>
        <v>1119.1000000000327</v>
      </c>
      <c r="N291">
        <f t="shared" si="4"/>
        <v>838.30000000001542</v>
      </c>
    </row>
    <row r="292" spans="1:14" x14ac:dyDescent="0.35">
      <c r="A292" t="s">
        <v>563</v>
      </c>
      <c r="B292" t="s">
        <v>564</v>
      </c>
      <c r="C292" t="s">
        <v>13</v>
      </c>
      <c r="D292">
        <v>24804.05</v>
      </c>
      <c r="E292">
        <v>24791.45</v>
      </c>
      <c r="F292">
        <v>24829.249999999902</v>
      </c>
      <c r="G292">
        <v>24829.249999999902</v>
      </c>
      <c r="H292" t="s">
        <v>14</v>
      </c>
      <c r="I292">
        <v>12.5999999999985</v>
      </c>
      <c r="J292">
        <v>25.199999999997001</v>
      </c>
      <c r="K292">
        <v>25.199999999997001</v>
      </c>
      <c r="L292">
        <f>SUM($K$2:K292)</f>
        <v>306.00000000001427</v>
      </c>
      <c r="M292">
        <f>MAX($L$2:L292)</f>
        <v>1119.1000000000327</v>
      </c>
      <c r="N292">
        <f t="shared" si="4"/>
        <v>813.10000000001833</v>
      </c>
    </row>
    <row r="293" spans="1:14" x14ac:dyDescent="0.35">
      <c r="A293" t="s">
        <v>564</v>
      </c>
      <c r="B293" t="s">
        <v>565</v>
      </c>
      <c r="C293" t="s">
        <v>13</v>
      </c>
      <c r="D293">
        <v>24819.599999999999</v>
      </c>
      <c r="E293">
        <v>24795.05</v>
      </c>
      <c r="F293">
        <v>24868.699999999899</v>
      </c>
      <c r="G293">
        <v>24795.05</v>
      </c>
      <c r="H293" t="s">
        <v>16</v>
      </c>
      <c r="I293">
        <v>24.549999999999201</v>
      </c>
      <c r="J293">
        <v>49.099999999998502</v>
      </c>
      <c r="K293">
        <v>-24.549999999999201</v>
      </c>
      <c r="L293">
        <f>SUM($K$2:K293)</f>
        <v>281.45000000001505</v>
      </c>
      <c r="M293">
        <f>MAX($L$2:L293)</f>
        <v>1119.1000000000327</v>
      </c>
      <c r="N293">
        <f t="shared" si="4"/>
        <v>837.6500000000176</v>
      </c>
    </row>
    <row r="294" spans="1:14" x14ac:dyDescent="0.35">
      <c r="A294" t="s">
        <v>566</v>
      </c>
      <c r="B294" t="s">
        <v>567</v>
      </c>
      <c r="C294" t="s">
        <v>32</v>
      </c>
      <c r="D294">
        <v>24743.95</v>
      </c>
      <c r="E294">
        <v>24765.85</v>
      </c>
      <c r="F294">
        <v>24700.15</v>
      </c>
      <c r="G294">
        <v>24700.15</v>
      </c>
      <c r="H294" t="s">
        <v>14</v>
      </c>
      <c r="I294">
        <v>21.899999999997799</v>
      </c>
      <c r="J294">
        <v>43.799999999995599</v>
      </c>
      <c r="K294">
        <v>43.799999999995599</v>
      </c>
      <c r="L294">
        <f>SUM($K$2:K294)</f>
        <v>325.25000000001063</v>
      </c>
      <c r="M294">
        <f>MAX($L$2:L294)</f>
        <v>1119.1000000000327</v>
      </c>
      <c r="N294">
        <f t="shared" si="4"/>
        <v>793.85000000002196</v>
      </c>
    </row>
    <row r="295" spans="1:14" x14ac:dyDescent="0.35">
      <c r="A295" t="s">
        <v>567</v>
      </c>
      <c r="B295" t="s">
        <v>568</v>
      </c>
      <c r="C295" t="s">
        <v>32</v>
      </c>
      <c r="D295">
        <v>24686.55</v>
      </c>
      <c r="E295">
        <v>24749.599999999999</v>
      </c>
      <c r="F295">
        <v>24560.45</v>
      </c>
      <c r="G295">
        <v>24749.599999999999</v>
      </c>
      <c r="H295" t="s">
        <v>16</v>
      </c>
      <c r="I295">
        <v>63.049999999999201</v>
      </c>
      <c r="J295">
        <v>126.099999999998</v>
      </c>
      <c r="K295">
        <v>-63.049999999999201</v>
      </c>
      <c r="L295">
        <f>SUM($K$2:K295)</f>
        <v>262.20000000001141</v>
      </c>
      <c r="M295">
        <f>MAX($L$2:L295)</f>
        <v>1119.1000000000327</v>
      </c>
      <c r="N295">
        <f t="shared" si="4"/>
        <v>856.90000000002124</v>
      </c>
    </row>
    <row r="296" spans="1:14" x14ac:dyDescent="0.35">
      <c r="A296" t="s">
        <v>569</v>
      </c>
      <c r="B296" t="s">
        <v>570</v>
      </c>
      <c r="C296" t="s">
        <v>32</v>
      </c>
      <c r="D296">
        <v>24755.1</v>
      </c>
      <c r="E296">
        <v>24768.400000000001</v>
      </c>
      <c r="F296">
        <v>24728.499999999902</v>
      </c>
      <c r="G296">
        <v>24768.400000000001</v>
      </c>
      <c r="H296" t="s">
        <v>16</v>
      </c>
      <c r="I296">
        <v>13.3000000000029</v>
      </c>
      <c r="J296">
        <v>26.600000000005799</v>
      </c>
      <c r="K296">
        <v>-13.3000000000029</v>
      </c>
      <c r="L296">
        <f>SUM($K$2:K296)</f>
        <v>248.9000000000085</v>
      </c>
      <c r="M296">
        <f>MAX($L$2:L296)</f>
        <v>1119.1000000000327</v>
      </c>
      <c r="N296">
        <f t="shared" si="4"/>
        <v>870.20000000002415</v>
      </c>
    </row>
    <row r="297" spans="1:14" x14ac:dyDescent="0.35">
      <c r="A297" t="s">
        <v>571</v>
      </c>
      <c r="B297" t="s">
        <v>572</v>
      </c>
      <c r="C297" t="s">
        <v>13</v>
      </c>
      <c r="D297">
        <v>24769.7</v>
      </c>
      <c r="E297">
        <v>24750.75</v>
      </c>
      <c r="F297">
        <v>24807.599999999999</v>
      </c>
      <c r="G297">
        <v>24750.75</v>
      </c>
      <c r="H297" t="s">
        <v>16</v>
      </c>
      <c r="I297">
        <v>18.950000000000699</v>
      </c>
      <c r="J297">
        <v>37.900000000001398</v>
      </c>
      <c r="K297">
        <v>-18.950000000000699</v>
      </c>
      <c r="L297">
        <f>SUM($K$2:K297)</f>
        <v>229.9500000000078</v>
      </c>
      <c r="M297">
        <f>MAX($L$2:L297)</f>
        <v>1119.1000000000327</v>
      </c>
      <c r="N297">
        <f t="shared" si="4"/>
        <v>889.15000000002487</v>
      </c>
    </row>
    <row r="298" spans="1:14" x14ac:dyDescent="0.35">
      <c r="A298" t="s">
        <v>573</v>
      </c>
      <c r="B298" t="s">
        <v>574</v>
      </c>
      <c r="C298" t="s">
        <v>13</v>
      </c>
      <c r="D298">
        <v>24637.8</v>
      </c>
      <c r="E298">
        <v>24621.25</v>
      </c>
      <c r="F298">
        <v>24670.8999999999</v>
      </c>
      <c r="G298">
        <v>24670.8999999999</v>
      </c>
      <c r="H298" t="s">
        <v>14</v>
      </c>
      <c r="I298">
        <v>16.549999999999201</v>
      </c>
      <c r="J298">
        <v>33.099999999998502</v>
      </c>
      <c r="K298">
        <v>33.099999999998502</v>
      </c>
      <c r="L298">
        <f>SUM($K$2:K298)</f>
        <v>263.05000000000632</v>
      </c>
      <c r="M298">
        <f>MAX($L$2:L298)</f>
        <v>1119.1000000000327</v>
      </c>
      <c r="N298">
        <f t="shared" si="4"/>
        <v>856.05000000002633</v>
      </c>
    </row>
    <row r="299" spans="1:14" x14ac:dyDescent="0.35">
      <c r="A299" t="s">
        <v>575</v>
      </c>
      <c r="B299" t="s">
        <v>576</v>
      </c>
      <c r="C299" t="s">
        <v>13</v>
      </c>
      <c r="D299">
        <v>24719.8</v>
      </c>
      <c r="E299">
        <v>24670.05</v>
      </c>
      <c r="F299">
        <v>24819.3</v>
      </c>
      <c r="G299">
        <v>24670.05</v>
      </c>
      <c r="H299" t="s">
        <v>16</v>
      </c>
      <c r="I299">
        <v>49.75</v>
      </c>
      <c r="J299">
        <v>99.5</v>
      </c>
      <c r="K299">
        <v>-49.75</v>
      </c>
      <c r="L299">
        <f>SUM($K$2:K299)</f>
        <v>213.30000000000632</v>
      </c>
      <c r="M299">
        <f>MAX($L$2:L299)</f>
        <v>1119.1000000000327</v>
      </c>
      <c r="N299">
        <f t="shared" si="4"/>
        <v>905.80000000002633</v>
      </c>
    </row>
    <row r="300" spans="1:14" x14ac:dyDescent="0.35">
      <c r="A300" t="s">
        <v>577</v>
      </c>
      <c r="B300" t="s">
        <v>578</v>
      </c>
      <c r="C300" t="s">
        <v>32</v>
      </c>
      <c r="D300">
        <v>24647.15</v>
      </c>
      <c r="E300">
        <v>24683.55</v>
      </c>
      <c r="F300">
        <v>24574.35</v>
      </c>
      <c r="G300">
        <v>24683.55</v>
      </c>
      <c r="H300" t="s">
        <v>16</v>
      </c>
      <c r="I300">
        <v>36.399999999997803</v>
      </c>
      <c r="J300">
        <v>72.799999999995606</v>
      </c>
      <c r="K300">
        <v>-36.399999999997803</v>
      </c>
      <c r="L300">
        <f>SUM($K$2:K300)</f>
        <v>176.9000000000085</v>
      </c>
      <c r="M300">
        <f>MAX($L$2:L300)</f>
        <v>1119.1000000000327</v>
      </c>
      <c r="N300">
        <f t="shared" si="4"/>
        <v>942.20000000002415</v>
      </c>
    </row>
    <row r="301" spans="1:14" x14ac:dyDescent="0.35">
      <c r="A301" t="s">
        <v>579</v>
      </c>
      <c r="B301" t="s">
        <v>580</v>
      </c>
      <c r="C301" t="s">
        <v>32</v>
      </c>
      <c r="D301">
        <v>24646.799999999999</v>
      </c>
      <c r="E301">
        <v>24677.1</v>
      </c>
      <c r="F301">
        <v>24586.2</v>
      </c>
      <c r="G301">
        <v>24677.1</v>
      </c>
      <c r="H301" t="s">
        <v>16</v>
      </c>
      <c r="I301">
        <v>30.299999999999201</v>
      </c>
      <c r="J301">
        <v>60.599999999998502</v>
      </c>
      <c r="K301">
        <v>-30.299999999999201</v>
      </c>
      <c r="L301">
        <f>SUM($K$2:K301)</f>
        <v>146.60000000000929</v>
      </c>
      <c r="M301">
        <f>MAX($L$2:L301)</f>
        <v>1119.1000000000327</v>
      </c>
      <c r="N301">
        <f t="shared" si="4"/>
        <v>972.50000000002342</v>
      </c>
    </row>
    <row r="302" spans="1:14" x14ac:dyDescent="0.35">
      <c r="A302" t="s">
        <v>581</v>
      </c>
      <c r="B302" t="s">
        <v>582</v>
      </c>
      <c r="C302" t="s">
        <v>13</v>
      </c>
      <c r="D302">
        <v>24595.200000000001</v>
      </c>
      <c r="E302">
        <v>24576.05</v>
      </c>
      <c r="F302">
        <v>24633.5</v>
      </c>
      <c r="G302">
        <v>24576.05</v>
      </c>
      <c r="H302" t="s">
        <v>16</v>
      </c>
      <c r="I302">
        <v>19.150000000001398</v>
      </c>
      <c r="J302">
        <v>38.300000000002903</v>
      </c>
      <c r="K302">
        <v>-19.150000000001398</v>
      </c>
      <c r="L302">
        <f>SUM($K$2:K302)</f>
        <v>127.45000000000789</v>
      </c>
      <c r="M302">
        <f>MAX($L$2:L302)</f>
        <v>1119.1000000000327</v>
      </c>
      <c r="N302">
        <f t="shared" si="4"/>
        <v>991.65000000002476</v>
      </c>
    </row>
    <row r="303" spans="1:14" x14ac:dyDescent="0.35">
      <c r="A303" t="s">
        <v>583</v>
      </c>
      <c r="B303" t="s">
        <v>584</v>
      </c>
      <c r="C303" t="s">
        <v>13</v>
      </c>
      <c r="D303">
        <v>24613.9</v>
      </c>
      <c r="E303">
        <v>24601.9</v>
      </c>
      <c r="F303">
        <v>24637.9</v>
      </c>
      <c r="G303">
        <v>24601.9</v>
      </c>
      <c r="H303" t="s">
        <v>16</v>
      </c>
      <c r="I303">
        <v>12</v>
      </c>
      <c r="J303">
        <v>24</v>
      </c>
      <c r="K303">
        <v>-12</v>
      </c>
      <c r="L303">
        <f>SUM($K$2:K303)</f>
        <v>115.45000000000789</v>
      </c>
      <c r="M303">
        <f>MAX($L$2:L303)</f>
        <v>1119.1000000000327</v>
      </c>
      <c r="N303">
        <f t="shared" si="4"/>
        <v>1003.6500000000248</v>
      </c>
    </row>
    <row r="304" spans="1:14" x14ac:dyDescent="0.35">
      <c r="A304" t="s">
        <v>585</v>
      </c>
      <c r="B304" t="s">
        <v>586</v>
      </c>
      <c r="C304" t="s">
        <v>13</v>
      </c>
      <c r="D304">
        <v>24666.799999999999</v>
      </c>
      <c r="E304">
        <v>24613.1</v>
      </c>
      <c r="F304">
        <v>24774.2</v>
      </c>
      <c r="G304">
        <v>24774.2</v>
      </c>
      <c r="H304" t="s">
        <v>14</v>
      </c>
      <c r="I304">
        <v>53.700000000000699</v>
      </c>
      <c r="J304">
        <v>107.400000000001</v>
      </c>
      <c r="K304">
        <v>107.400000000001</v>
      </c>
      <c r="L304">
        <f>SUM($K$2:K304)</f>
        <v>222.85000000000889</v>
      </c>
      <c r="M304">
        <f>MAX($L$2:L304)</f>
        <v>1119.1000000000327</v>
      </c>
      <c r="N304">
        <f t="shared" si="4"/>
        <v>896.25000000002376</v>
      </c>
    </row>
    <row r="305" spans="1:14" x14ac:dyDescent="0.35">
      <c r="A305" t="s">
        <v>586</v>
      </c>
      <c r="B305" t="s">
        <v>587</v>
      </c>
      <c r="C305" t="s">
        <v>13</v>
      </c>
      <c r="D305">
        <v>24798.95</v>
      </c>
      <c r="E305">
        <v>24742.05</v>
      </c>
      <c r="F305">
        <v>24912.75</v>
      </c>
      <c r="G305">
        <v>24742.05</v>
      </c>
      <c r="H305" t="s">
        <v>16</v>
      </c>
      <c r="I305">
        <v>56.900000000001398</v>
      </c>
      <c r="J305">
        <v>113.800000000002</v>
      </c>
      <c r="K305">
        <v>-56.900000000001398</v>
      </c>
      <c r="L305">
        <f>SUM($K$2:K305)</f>
        <v>165.95000000000749</v>
      </c>
      <c r="M305">
        <f>MAX($L$2:L305)</f>
        <v>1119.1000000000327</v>
      </c>
      <c r="N305">
        <f t="shared" si="4"/>
        <v>953.1500000000251</v>
      </c>
    </row>
    <row r="306" spans="1:14" x14ac:dyDescent="0.35">
      <c r="A306" t="s">
        <v>588</v>
      </c>
      <c r="B306" t="s">
        <v>589</v>
      </c>
      <c r="C306" t="s">
        <v>32</v>
      </c>
      <c r="D306">
        <v>24730.6</v>
      </c>
      <c r="E306">
        <v>24762.9</v>
      </c>
      <c r="F306">
        <v>24665.999999999902</v>
      </c>
      <c r="G306">
        <v>24762.9</v>
      </c>
      <c r="H306" t="s">
        <v>16</v>
      </c>
      <c r="I306">
        <v>32.300000000002903</v>
      </c>
      <c r="J306">
        <v>64.600000000005807</v>
      </c>
      <c r="K306">
        <v>-32.300000000002903</v>
      </c>
      <c r="L306">
        <f>SUM($K$2:K306)</f>
        <v>133.65000000000458</v>
      </c>
      <c r="M306">
        <f>MAX($L$2:L306)</f>
        <v>1119.1000000000327</v>
      </c>
      <c r="N306">
        <f t="shared" si="4"/>
        <v>985.45000000002801</v>
      </c>
    </row>
    <row r="307" spans="1:14" x14ac:dyDescent="0.35">
      <c r="A307" t="s">
        <v>590</v>
      </c>
      <c r="B307" t="s">
        <v>591</v>
      </c>
      <c r="C307" t="s">
        <v>32</v>
      </c>
      <c r="D307">
        <v>24708.45</v>
      </c>
      <c r="E307">
        <v>24732.15</v>
      </c>
      <c r="F307">
        <v>24661.05</v>
      </c>
      <c r="G307">
        <v>24732.15</v>
      </c>
      <c r="H307" t="s">
        <v>16</v>
      </c>
      <c r="I307">
        <v>23.700000000000699</v>
      </c>
      <c r="J307">
        <v>47.400000000001398</v>
      </c>
      <c r="K307">
        <v>-23.700000000000699</v>
      </c>
      <c r="L307">
        <f>SUM($K$2:K307)</f>
        <v>109.95000000000388</v>
      </c>
      <c r="M307">
        <f>MAX($L$2:L307)</f>
        <v>1119.1000000000327</v>
      </c>
      <c r="N307">
        <f t="shared" si="4"/>
        <v>1009.1500000000287</v>
      </c>
    </row>
    <row r="308" spans="1:14" x14ac:dyDescent="0.35">
      <c r="A308" t="s">
        <v>592</v>
      </c>
      <c r="B308" t="s">
        <v>593</v>
      </c>
      <c r="C308" t="s">
        <v>13</v>
      </c>
      <c r="D308">
        <v>24788.85</v>
      </c>
      <c r="E308">
        <v>24737.75</v>
      </c>
      <c r="F308">
        <v>24891.049999999901</v>
      </c>
      <c r="G308">
        <v>24891.049999999901</v>
      </c>
      <c r="H308" t="s">
        <v>14</v>
      </c>
      <c r="I308">
        <v>51.099999999998502</v>
      </c>
      <c r="J308">
        <v>102.199999999997</v>
      </c>
      <c r="K308">
        <v>102.199999999997</v>
      </c>
      <c r="L308">
        <f>SUM($K$2:K308)</f>
        <v>212.15000000000089</v>
      </c>
      <c r="M308">
        <f>MAX($L$2:L308)</f>
        <v>1119.1000000000327</v>
      </c>
      <c r="N308">
        <f t="shared" si="4"/>
        <v>906.95000000003176</v>
      </c>
    </row>
    <row r="309" spans="1:14" x14ac:dyDescent="0.35">
      <c r="A309" t="s">
        <v>594</v>
      </c>
      <c r="B309" t="s">
        <v>595</v>
      </c>
      <c r="C309" t="s">
        <v>13</v>
      </c>
      <c r="D309">
        <v>24990.25</v>
      </c>
      <c r="E309">
        <v>24972.3</v>
      </c>
      <c r="F309">
        <v>25026.15</v>
      </c>
      <c r="G309">
        <v>25000.3</v>
      </c>
      <c r="H309" t="s">
        <v>23</v>
      </c>
      <c r="I309">
        <v>17.950000000000699</v>
      </c>
      <c r="J309">
        <v>35.900000000001398</v>
      </c>
      <c r="K309">
        <v>10.0499999999992</v>
      </c>
      <c r="L309">
        <f>SUM($K$2:K309)</f>
        <v>222.20000000000007</v>
      </c>
      <c r="M309">
        <f>MAX($L$2:L309)</f>
        <v>1119.1000000000327</v>
      </c>
      <c r="N309">
        <f t="shared" si="4"/>
        <v>896.90000000003261</v>
      </c>
    </row>
    <row r="310" spans="1:14" x14ac:dyDescent="0.35">
      <c r="A310" t="s">
        <v>596</v>
      </c>
      <c r="B310" t="s">
        <v>597</v>
      </c>
      <c r="C310" t="s">
        <v>13</v>
      </c>
      <c r="D310">
        <v>25134.45</v>
      </c>
      <c r="E310">
        <v>25120.9</v>
      </c>
      <c r="F310">
        <v>25161.55</v>
      </c>
      <c r="G310">
        <v>25120.9</v>
      </c>
      <c r="H310" t="s">
        <v>16</v>
      </c>
      <c r="I310">
        <v>13.5499999999992</v>
      </c>
      <c r="J310">
        <v>27.099999999998499</v>
      </c>
      <c r="K310">
        <v>-13.5499999999992</v>
      </c>
      <c r="L310">
        <f>SUM($K$2:K310)</f>
        <v>208.65000000000089</v>
      </c>
      <c r="M310">
        <f>MAX($L$2:L310)</f>
        <v>1119.1000000000327</v>
      </c>
      <c r="N310">
        <f t="shared" si="4"/>
        <v>910.45000000003176</v>
      </c>
    </row>
    <row r="311" spans="1:14" x14ac:dyDescent="0.35">
      <c r="A311" t="s">
        <v>598</v>
      </c>
      <c r="B311" t="s">
        <v>599</v>
      </c>
      <c r="C311" t="s">
        <v>32</v>
      </c>
      <c r="D311">
        <v>25090.400000000001</v>
      </c>
      <c r="E311">
        <v>25105.15</v>
      </c>
      <c r="F311">
        <v>25060.9</v>
      </c>
      <c r="G311">
        <v>25105.15</v>
      </c>
      <c r="H311" t="s">
        <v>16</v>
      </c>
      <c r="I311">
        <v>14.75</v>
      </c>
      <c r="J311">
        <v>29.5</v>
      </c>
      <c r="K311">
        <v>-14.75</v>
      </c>
      <c r="L311">
        <f>SUM($K$2:K311)</f>
        <v>193.90000000000089</v>
      </c>
      <c r="M311">
        <f>MAX($L$2:L311)</f>
        <v>1119.1000000000327</v>
      </c>
      <c r="N311">
        <f t="shared" si="4"/>
        <v>925.20000000003176</v>
      </c>
    </row>
    <row r="312" spans="1:14" x14ac:dyDescent="0.35">
      <c r="A312" t="s">
        <v>600</v>
      </c>
      <c r="B312" t="s">
        <v>601</v>
      </c>
      <c r="C312" t="s">
        <v>13</v>
      </c>
      <c r="D312">
        <v>25138.45</v>
      </c>
      <c r="E312">
        <v>25122.45</v>
      </c>
      <c r="F312">
        <v>25170.45</v>
      </c>
      <c r="G312">
        <v>25122.45</v>
      </c>
      <c r="H312" t="s">
        <v>16</v>
      </c>
      <c r="I312">
        <v>16</v>
      </c>
      <c r="J312">
        <v>32</v>
      </c>
      <c r="K312">
        <v>-16</v>
      </c>
      <c r="L312">
        <f>SUM($K$2:K312)</f>
        <v>177.90000000000089</v>
      </c>
      <c r="M312">
        <f>MAX($L$2:L312)</f>
        <v>1119.1000000000327</v>
      </c>
      <c r="N312">
        <f t="shared" si="4"/>
        <v>941.20000000003176</v>
      </c>
    </row>
    <row r="313" spans="1:14" x14ac:dyDescent="0.35">
      <c r="A313" t="s">
        <v>602</v>
      </c>
      <c r="B313" t="s">
        <v>603</v>
      </c>
      <c r="C313" t="s">
        <v>13</v>
      </c>
      <c r="D313">
        <v>25115.4</v>
      </c>
      <c r="E313">
        <v>25055.45</v>
      </c>
      <c r="F313">
        <v>25235.3</v>
      </c>
      <c r="G313">
        <v>25091.5</v>
      </c>
      <c r="H313" t="s">
        <v>23</v>
      </c>
      <c r="I313">
        <v>59.950000000000699</v>
      </c>
      <c r="J313">
        <v>119.900000000001</v>
      </c>
      <c r="K313">
        <v>-23.900000000001398</v>
      </c>
      <c r="L313">
        <f>SUM($K$2:K313)</f>
        <v>153.99999999999949</v>
      </c>
      <c r="M313">
        <f>MAX($L$2:L313)</f>
        <v>1119.1000000000327</v>
      </c>
      <c r="N313">
        <f t="shared" si="4"/>
        <v>965.10000000003311</v>
      </c>
    </row>
    <row r="314" spans="1:14" x14ac:dyDescent="0.35">
      <c r="A314" t="s">
        <v>604</v>
      </c>
      <c r="B314" t="s">
        <v>605</v>
      </c>
      <c r="C314" t="s">
        <v>13</v>
      </c>
      <c r="D314">
        <v>25173.75</v>
      </c>
      <c r="E314">
        <v>25144.799999999999</v>
      </c>
      <c r="F314">
        <v>25231.65</v>
      </c>
      <c r="G314">
        <v>25144.799999999999</v>
      </c>
      <c r="H314" t="s">
        <v>16</v>
      </c>
      <c r="I314">
        <v>28.950000000000699</v>
      </c>
      <c r="J314">
        <v>57.900000000001398</v>
      </c>
      <c r="K314">
        <v>-28.950000000000699</v>
      </c>
      <c r="L314">
        <f>SUM($K$2:K314)</f>
        <v>125.04999999999879</v>
      </c>
      <c r="M314">
        <f>MAX($L$2:L314)</f>
        <v>1119.1000000000327</v>
      </c>
      <c r="N314">
        <f t="shared" si="4"/>
        <v>994.05000000003383</v>
      </c>
    </row>
    <row r="315" spans="1:14" x14ac:dyDescent="0.35">
      <c r="A315" t="s">
        <v>606</v>
      </c>
      <c r="B315" t="s">
        <v>607</v>
      </c>
      <c r="C315" t="s">
        <v>13</v>
      </c>
      <c r="D315">
        <v>25189.05</v>
      </c>
      <c r="E315">
        <v>25168.75</v>
      </c>
      <c r="F315">
        <v>25229.6499999999</v>
      </c>
      <c r="G315">
        <v>25168.75</v>
      </c>
      <c r="H315" t="s">
        <v>16</v>
      </c>
      <c r="I315">
        <v>20.299999999999201</v>
      </c>
      <c r="J315">
        <v>40.599999999998502</v>
      </c>
      <c r="K315">
        <v>-20.299999999999201</v>
      </c>
      <c r="L315">
        <f>SUM($K$2:K315)</f>
        <v>104.74999999999959</v>
      </c>
      <c r="M315">
        <f>MAX($L$2:L315)</f>
        <v>1119.1000000000327</v>
      </c>
      <c r="N315">
        <f t="shared" si="4"/>
        <v>1014.3500000000331</v>
      </c>
    </row>
    <row r="316" spans="1:14" x14ac:dyDescent="0.35">
      <c r="A316" t="s">
        <v>608</v>
      </c>
      <c r="B316" t="s">
        <v>609</v>
      </c>
      <c r="C316" t="s">
        <v>32</v>
      </c>
      <c r="D316">
        <v>25044.65</v>
      </c>
      <c r="E316">
        <v>25099.200000000001</v>
      </c>
      <c r="F316">
        <v>24935.55</v>
      </c>
      <c r="G316">
        <v>24935.55</v>
      </c>
      <c r="H316" t="s">
        <v>14</v>
      </c>
      <c r="I316">
        <v>54.549999999999201</v>
      </c>
      <c r="J316">
        <v>109.099999999998</v>
      </c>
      <c r="K316">
        <v>109.099999999998</v>
      </c>
      <c r="L316">
        <f>SUM($K$2:K316)</f>
        <v>213.84999999999758</v>
      </c>
      <c r="M316">
        <f>MAX($L$2:L316)</f>
        <v>1119.1000000000327</v>
      </c>
      <c r="N316">
        <f t="shared" si="4"/>
        <v>905.25000000003502</v>
      </c>
    </row>
    <row r="317" spans="1:14" x14ac:dyDescent="0.35">
      <c r="A317" t="s">
        <v>610</v>
      </c>
      <c r="B317" t="s">
        <v>611</v>
      </c>
      <c r="C317" t="s">
        <v>13</v>
      </c>
      <c r="D317">
        <v>24711.05</v>
      </c>
      <c r="E317">
        <v>24689.25</v>
      </c>
      <c r="F317">
        <v>24754.6499999999</v>
      </c>
      <c r="G317">
        <v>24689.25</v>
      </c>
      <c r="H317" t="s">
        <v>16</v>
      </c>
      <c r="I317">
        <v>21.799999999999201</v>
      </c>
      <c r="J317">
        <v>43.599999999998502</v>
      </c>
      <c r="K317">
        <v>-21.799999999999201</v>
      </c>
      <c r="L317">
        <f>SUM($K$2:K317)</f>
        <v>192.04999999999836</v>
      </c>
      <c r="M317">
        <f>MAX($L$2:L317)</f>
        <v>1119.1000000000327</v>
      </c>
      <c r="N317">
        <f t="shared" si="4"/>
        <v>927.05000000003429</v>
      </c>
    </row>
    <row r="318" spans="1:14" x14ac:dyDescent="0.35">
      <c r="A318" t="s">
        <v>612</v>
      </c>
      <c r="B318" t="s">
        <v>613</v>
      </c>
      <c r="C318" t="s">
        <v>13</v>
      </c>
      <c r="D318">
        <v>24788.95</v>
      </c>
      <c r="E318">
        <v>24703.599999999999</v>
      </c>
      <c r="F318">
        <v>24959.65</v>
      </c>
      <c r="G318">
        <v>24959.65</v>
      </c>
      <c r="H318" t="s">
        <v>14</v>
      </c>
      <c r="I318">
        <v>85.350000000002098</v>
      </c>
      <c r="J318">
        <v>170.700000000004</v>
      </c>
      <c r="K318">
        <v>170.700000000004</v>
      </c>
      <c r="L318">
        <f>SUM($K$2:K318)</f>
        <v>362.75000000000239</v>
      </c>
      <c r="M318">
        <f>MAX($L$2:L318)</f>
        <v>1119.1000000000327</v>
      </c>
      <c r="N318">
        <f t="shared" si="4"/>
        <v>756.35000000003026</v>
      </c>
    </row>
    <row r="319" spans="1:14" x14ac:dyDescent="0.35">
      <c r="A319" t="s">
        <v>614</v>
      </c>
      <c r="B319" t="s">
        <v>615</v>
      </c>
      <c r="C319" t="s">
        <v>13</v>
      </c>
      <c r="D319">
        <v>24949</v>
      </c>
      <c r="E319">
        <v>24938.799999999999</v>
      </c>
      <c r="F319">
        <v>24969.4</v>
      </c>
      <c r="G319">
        <v>24938.799999999999</v>
      </c>
      <c r="H319" t="s">
        <v>16</v>
      </c>
      <c r="I319">
        <v>10.200000000000699</v>
      </c>
      <c r="J319">
        <v>20.400000000001398</v>
      </c>
      <c r="K319">
        <v>-10.200000000000699</v>
      </c>
      <c r="L319">
        <f>SUM($K$2:K319)</f>
        <v>352.55000000000166</v>
      </c>
      <c r="M319">
        <f>MAX($L$2:L319)</f>
        <v>1119.1000000000327</v>
      </c>
      <c r="N319">
        <f t="shared" si="4"/>
        <v>766.55000000003099</v>
      </c>
    </row>
    <row r="320" spans="1:14" x14ac:dyDescent="0.35">
      <c r="A320" t="s">
        <v>616</v>
      </c>
      <c r="B320" t="s">
        <v>617</v>
      </c>
      <c r="C320" t="s">
        <v>32</v>
      </c>
      <c r="D320">
        <v>24880.400000000001</v>
      </c>
      <c r="E320">
        <v>24900.65</v>
      </c>
      <c r="F320">
        <v>24839.9</v>
      </c>
      <c r="G320">
        <v>24900.65</v>
      </c>
      <c r="H320" t="s">
        <v>16</v>
      </c>
      <c r="I320">
        <v>20.25</v>
      </c>
      <c r="J320">
        <v>40.5</v>
      </c>
      <c r="K320">
        <v>-20.25</v>
      </c>
      <c r="L320">
        <f>SUM($K$2:K320)</f>
        <v>332.30000000000166</v>
      </c>
      <c r="M320">
        <f>MAX($L$2:L320)</f>
        <v>1119.1000000000327</v>
      </c>
      <c r="N320">
        <f t="shared" si="4"/>
        <v>786.80000000003099</v>
      </c>
    </row>
    <row r="321" spans="1:14" x14ac:dyDescent="0.35">
      <c r="A321" t="s">
        <v>618</v>
      </c>
      <c r="B321" t="s">
        <v>619</v>
      </c>
      <c r="C321" t="s">
        <v>32</v>
      </c>
      <c r="D321">
        <v>24855.7</v>
      </c>
      <c r="E321">
        <v>24872.65</v>
      </c>
      <c r="F321">
        <v>24821.8</v>
      </c>
      <c r="G321">
        <v>24821.8</v>
      </c>
      <c r="H321" t="s">
        <v>14</v>
      </c>
      <c r="I321">
        <v>16.950000000000699</v>
      </c>
      <c r="J321">
        <v>33.900000000001398</v>
      </c>
      <c r="K321">
        <v>33.900000000001398</v>
      </c>
      <c r="L321">
        <f>SUM($K$2:K321)</f>
        <v>366.20000000000306</v>
      </c>
      <c r="M321">
        <f>MAX($L$2:L321)</f>
        <v>1119.1000000000327</v>
      </c>
      <c r="N321">
        <f t="shared" si="4"/>
        <v>752.90000000002965</v>
      </c>
    </row>
    <row r="322" spans="1:14" x14ac:dyDescent="0.35">
      <c r="A322" t="s">
        <v>619</v>
      </c>
      <c r="B322" t="s">
        <v>620</v>
      </c>
      <c r="C322" t="s">
        <v>32</v>
      </c>
      <c r="D322">
        <v>24820.85</v>
      </c>
      <c r="E322">
        <v>24841.599999999999</v>
      </c>
      <c r="F322">
        <v>24779.35</v>
      </c>
      <c r="G322">
        <v>24841.599999999999</v>
      </c>
      <c r="H322" t="s">
        <v>16</v>
      </c>
      <c r="I322">
        <v>20.75</v>
      </c>
      <c r="J322">
        <v>41.5</v>
      </c>
      <c r="K322">
        <v>-20.75</v>
      </c>
      <c r="L322">
        <f>SUM($K$2:K322)</f>
        <v>345.45000000000306</v>
      </c>
      <c r="M322">
        <f>MAX($L$2:L322)</f>
        <v>1119.1000000000327</v>
      </c>
      <c r="N322">
        <f t="shared" ref="N322:N385" si="5">M322-L322</f>
        <v>773.65000000002965</v>
      </c>
    </row>
    <row r="323" spans="1:14" x14ac:dyDescent="0.35">
      <c r="A323" t="s">
        <v>621</v>
      </c>
      <c r="B323" t="s">
        <v>622</v>
      </c>
      <c r="C323" t="s">
        <v>13</v>
      </c>
      <c r="D323">
        <v>24897.200000000001</v>
      </c>
      <c r="E323">
        <v>24872.6</v>
      </c>
      <c r="F323">
        <v>24946.400000000001</v>
      </c>
      <c r="G323">
        <v>24946.400000000001</v>
      </c>
      <c r="H323" t="s">
        <v>14</v>
      </c>
      <c r="I323">
        <v>24.600000000002101</v>
      </c>
      <c r="J323">
        <v>49.200000000004302</v>
      </c>
      <c r="K323">
        <v>49.200000000004302</v>
      </c>
      <c r="L323">
        <f>SUM($K$2:K323)</f>
        <v>394.65000000000737</v>
      </c>
      <c r="M323">
        <f>MAX($L$2:L323)</f>
        <v>1119.1000000000327</v>
      </c>
      <c r="N323">
        <f t="shared" si="5"/>
        <v>724.45000000002528</v>
      </c>
    </row>
    <row r="324" spans="1:14" x14ac:dyDescent="0.35">
      <c r="A324" t="s">
        <v>623</v>
      </c>
      <c r="B324" t="s">
        <v>624</v>
      </c>
      <c r="C324" t="s">
        <v>13</v>
      </c>
      <c r="D324">
        <v>24914.55</v>
      </c>
      <c r="E324">
        <v>24901.65</v>
      </c>
      <c r="F324">
        <v>24940.3499999999</v>
      </c>
      <c r="G324">
        <v>24901.65</v>
      </c>
      <c r="H324" t="s">
        <v>16</v>
      </c>
      <c r="I324">
        <v>12.899999999997799</v>
      </c>
      <c r="J324">
        <v>25.799999999995599</v>
      </c>
      <c r="K324">
        <v>-12.899999999997799</v>
      </c>
      <c r="L324">
        <f>SUM($K$2:K324)</f>
        <v>381.75000000000955</v>
      </c>
      <c r="M324">
        <f>MAX($L$2:L324)</f>
        <v>1119.1000000000327</v>
      </c>
      <c r="N324">
        <f t="shared" si="5"/>
        <v>737.3500000000231</v>
      </c>
    </row>
    <row r="325" spans="1:14" x14ac:dyDescent="0.35">
      <c r="A325" t="s">
        <v>625</v>
      </c>
      <c r="B325" t="s">
        <v>626</v>
      </c>
      <c r="C325" t="s">
        <v>32</v>
      </c>
      <c r="D325">
        <v>24848.95</v>
      </c>
      <c r="E325">
        <v>24872.15</v>
      </c>
      <c r="F325">
        <v>24802.55</v>
      </c>
      <c r="G325">
        <v>24802.55</v>
      </c>
      <c r="H325" t="s">
        <v>14</v>
      </c>
      <c r="I325">
        <v>23.200000000000699</v>
      </c>
      <c r="J325">
        <v>46.400000000001398</v>
      </c>
      <c r="K325">
        <v>46.400000000001398</v>
      </c>
      <c r="L325">
        <f>SUM($K$2:K325)</f>
        <v>428.15000000001095</v>
      </c>
      <c r="M325">
        <f>MAX($L$2:L325)</f>
        <v>1119.1000000000327</v>
      </c>
      <c r="N325">
        <f t="shared" si="5"/>
        <v>690.95000000002165</v>
      </c>
    </row>
    <row r="326" spans="1:14" x14ac:dyDescent="0.35">
      <c r="A326" t="s">
        <v>627</v>
      </c>
      <c r="B326" t="s">
        <v>628</v>
      </c>
      <c r="C326" t="s">
        <v>32</v>
      </c>
      <c r="D326">
        <v>24782.3</v>
      </c>
      <c r="E326">
        <v>24793.25</v>
      </c>
      <c r="F326">
        <v>24760.3999999999</v>
      </c>
      <c r="G326">
        <v>24793.25</v>
      </c>
      <c r="H326" t="s">
        <v>16</v>
      </c>
      <c r="I326">
        <v>10.950000000000699</v>
      </c>
      <c r="J326">
        <v>21.900000000001398</v>
      </c>
      <c r="K326">
        <v>-10.950000000000699</v>
      </c>
      <c r="L326">
        <f>SUM($K$2:K326)</f>
        <v>417.20000000001028</v>
      </c>
      <c r="M326">
        <f>MAX($L$2:L326)</f>
        <v>1119.1000000000327</v>
      </c>
      <c r="N326">
        <f t="shared" si="5"/>
        <v>701.90000000002237</v>
      </c>
    </row>
    <row r="327" spans="1:14" x14ac:dyDescent="0.35">
      <c r="A327" t="s">
        <v>629</v>
      </c>
      <c r="B327" t="s">
        <v>630</v>
      </c>
      <c r="C327" t="s">
        <v>13</v>
      </c>
      <c r="D327">
        <v>24842.35</v>
      </c>
      <c r="E327">
        <v>24812.95</v>
      </c>
      <c r="F327">
        <v>24901.1499999999</v>
      </c>
      <c r="G327">
        <v>24812.95</v>
      </c>
      <c r="H327" t="s">
        <v>16</v>
      </c>
      <c r="I327">
        <v>29.399999999997799</v>
      </c>
      <c r="J327">
        <v>58.799999999995599</v>
      </c>
      <c r="K327">
        <v>-29.399999999997799</v>
      </c>
      <c r="L327">
        <f>SUM($K$2:K327)</f>
        <v>387.80000000001246</v>
      </c>
      <c r="M327">
        <f>MAX($L$2:L327)</f>
        <v>1119.1000000000327</v>
      </c>
      <c r="N327">
        <f t="shared" si="5"/>
        <v>731.30000000002019</v>
      </c>
    </row>
    <row r="328" spans="1:14" x14ac:dyDescent="0.35">
      <c r="A328" t="s">
        <v>631</v>
      </c>
      <c r="B328" t="s">
        <v>632</v>
      </c>
      <c r="C328" t="s">
        <v>32</v>
      </c>
      <c r="D328">
        <v>24800.95</v>
      </c>
      <c r="E328">
        <v>24813</v>
      </c>
      <c r="F328">
        <v>24776.85</v>
      </c>
      <c r="G328">
        <v>24813</v>
      </c>
      <c r="H328" t="s">
        <v>16</v>
      </c>
      <c r="I328">
        <v>12.0499999999992</v>
      </c>
      <c r="J328">
        <v>24.099999999998499</v>
      </c>
      <c r="K328">
        <v>-12.0499999999992</v>
      </c>
      <c r="L328">
        <f>SUM($K$2:K328)</f>
        <v>375.75000000001324</v>
      </c>
      <c r="M328">
        <f>MAX($L$2:L328)</f>
        <v>1119.1000000000327</v>
      </c>
      <c r="N328">
        <f t="shared" si="5"/>
        <v>743.35000000001946</v>
      </c>
    </row>
    <row r="329" spans="1:14" x14ac:dyDescent="0.35">
      <c r="A329" t="s">
        <v>633</v>
      </c>
      <c r="B329" t="s">
        <v>634</v>
      </c>
      <c r="C329" t="s">
        <v>13</v>
      </c>
      <c r="D329">
        <v>24874.35</v>
      </c>
      <c r="E329">
        <v>24832.05</v>
      </c>
      <c r="F329">
        <v>24958.949999999899</v>
      </c>
      <c r="G329">
        <v>24958.949999999899</v>
      </c>
      <c r="H329" t="s">
        <v>14</v>
      </c>
      <c r="I329">
        <v>42.299999999999201</v>
      </c>
      <c r="J329">
        <v>84.599999999998502</v>
      </c>
      <c r="K329">
        <v>84.599999999998502</v>
      </c>
      <c r="L329">
        <f>SUM($K$2:K329)</f>
        <v>460.35000000001173</v>
      </c>
      <c r="M329">
        <f>MAX($L$2:L329)</f>
        <v>1119.1000000000327</v>
      </c>
      <c r="N329">
        <f t="shared" si="5"/>
        <v>658.75000000002092</v>
      </c>
    </row>
    <row r="330" spans="1:14" x14ac:dyDescent="0.35">
      <c r="A330" t="s">
        <v>635</v>
      </c>
      <c r="B330" t="s">
        <v>636</v>
      </c>
      <c r="C330" t="s">
        <v>13</v>
      </c>
      <c r="D330">
        <v>25016.35</v>
      </c>
      <c r="E330">
        <v>25002.9</v>
      </c>
      <c r="F330">
        <v>25043.249999999902</v>
      </c>
      <c r="G330">
        <v>25043.249999999902</v>
      </c>
      <c r="H330" t="s">
        <v>14</v>
      </c>
      <c r="I330">
        <v>13.449999999997001</v>
      </c>
      <c r="J330">
        <v>26.899999999994101</v>
      </c>
      <c r="K330">
        <v>26.899999999994101</v>
      </c>
      <c r="L330">
        <f>SUM($K$2:K330)</f>
        <v>487.25000000000585</v>
      </c>
      <c r="M330">
        <f>MAX($L$2:L330)</f>
        <v>1119.1000000000327</v>
      </c>
      <c r="N330">
        <f t="shared" si="5"/>
        <v>631.85000000002674</v>
      </c>
    </row>
    <row r="331" spans="1:14" x14ac:dyDescent="0.35">
      <c r="A331" t="s">
        <v>637</v>
      </c>
      <c r="B331" t="s">
        <v>638</v>
      </c>
      <c r="C331" t="s">
        <v>13</v>
      </c>
      <c r="D331">
        <v>25034.25</v>
      </c>
      <c r="E331">
        <v>25017.75</v>
      </c>
      <c r="F331">
        <v>25067.25</v>
      </c>
      <c r="G331">
        <v>25017.75</v>
      </c>
      <c r="H331" t="s">
        <v>16</v>
      </c>
      <c r="I331">
        <v>16.5</v>
      </c>
      <c r="J331">
        <v>33</v>
      </c>
      <c r="K331">
        <v>-16.5</v>
      </c>
      <c r="L331">
        <f>SUM($K$2:K331)</f>
        <v>470.75000000000585</v>
      </c>
      <c r="M331">
        <f>MAX($L$2:L331)</f>
        <v>1119.1000000000327</v>
      </c>
      <c r="N331">
        <f t="shared" si="5"/>
        <v>648.35000000002674</v>
      </c>
    </row>
    <row r="332" spans="1:14" x14ac:dyDescent="0.35">
      <c r="A332" t="s">
        <v>639</v>
      </c>
      <c r="B332" t="s">
        <v>640</v>
      </c>
      <c r="C332" t="s">
        <v>13</v>
      </c>
      <c r="D332">
        <v>25042.6</v>
      </c>
      <c r="E332">
        <v>25017.65</v>
      </c>
      <c r="F332">
        <v>25092.499999999902</v>
      </c>
      <c r="G332">
        <v>25092.499999999902</v>
      </c>
      <c r="H332" t="s">
        <v>14</v>
      </c>
      <c r="I332">
        <v>24.949999999997001</v>
      </c>
      <c r="J332">
        <v>49.899999999994101</v>
      </c>
      <c r="K332">
        <v>49.899999999994101</v>
      </c>
      <c r="L332">
        <f>SUM($K$2:K332)</f>
        <v>520.65</v>
      </c>
      <c r="M332">
        <f>MAX($L$2:L332)</f>
        <v>1119.1000000000327</v>
      </c>
      <c r="N332">
        <f t="shared" si="5"/>
        <v>598.45000000003267</v>
      </c>
    </row>
    <row r="333" spans="1:14" x14ac:dyDescent="0.35">
      <c r="A333" t="s">
        <v>641</v>
      </c>
      <c r="B333" t="s">
        <v>642</v>
      </c>
      <c r="C333" t="s">
        <v>13</v>
      </c>
      <c r="D333">
        <v>24948.15</v>
      </c>
      <c r="E333">
        <v>24933.75</v>
      </c>
      <c r="F333">
        <v>24976.95</v>
      </c>
      <c r="G333">
        <v>24976.95</v>
      </c>
      <c r="H333" t="s">
        <v>14</v>
      </c>
      <c r="I333">
        <v>14.4000000000014</v>
      </c>
      <c r="J333">
        <v>28.8000000000029</v>
      </c>
      <c r="K333">
        <v>28.8000000000029</v>
      </c>
      <c r="L333">
        <f>SUM($K$2:K333)</f>
        <v>549.45000000000289</v>
      </c>
      <c r="M333">
        <f>MAX($L$2:L333)</f>
        <v>1119.1000000000327</v>
      </c>
      <c r="N333">
        <f t="shared" si="5"/>
        <v>569.65000000002976</v>
      </c>
    </row>
    <row r="334" spans="1:14" x14ac:dyDescent="0.35">
      <c r="A334" t="s">
        <v>642</v>
      </c>
      <c r="B334" t="s">
        <v>643</v>
      </c>
      <c r="C334" t="s">
        <v>13</v>
      </c>
      <c r="D334">
        <v>24976.25</v>
      </c>
      <c r="E334">
        <v>24961.8</v>
      </c>
      <c r="F334">
        <v>25005.15</v>
      </c>
      <c r="G334">
        <v>25005.15</v>
      </c>
      <c r="H334" t="s">
        <v>14</v>
      </c>
      <c r="I334">
        <v>14.450000000000699</v>
      </c>
      <c r="J334">
        <v>28.900000000001398</v>
      </c>
      <c r="K334">
        <v>28.900000000001398</v>
      </c>
      <c r="L334">
        <f>SUM($K$2:K334)</f>
        <v>578.35000000000423</v>
      </c>
      <c r="M334">
        <f>MAX($L$2:L334)</f>
        <v>1119.1000000000327</v>
      </c>
      <c r="N334">
        <f t="shared" si="5"/>
        <v>540.75000000002842</v>
      </c>
    </row>
    <row r="335" spans="1:14" x14ac:dyDescent="0.35">
      <c r="A335" t="s">
        <v>644</v>
      </c>
      <c r="B335" t="s">
        <v>645</v>
      </c>
      <c r="C335" t="s">
        <v>13</v>
      </c>
      <c r="D335">
        <v>25049.1</v>
      </c>
      <c r="E335">
        <v>25017.9</v>
      </c>
      <c r="F335">
        <v>25111.499999999902</v>
      </c>
      <c r="G335">
        <v>25017.9</v>
      </c>
      <c r="H335" t="s">
        <v>16</v>
      </c>
      <c r="I335">
        <v>31.199999999997001</v>
      </c>
      <c r="J335">
        <v>62.399999999994101</v>
      </c>
      <c r="K335">
        <v>-31.199999999997001</v>
      </c>
      <c r="L335">
        <f>SUM($K$2:K335)</f>
        <v>547.15000000000725</v>
      </c>
      <c r="M335">
        <f>MAX($L$2:L335)</f>
        <v>1119.1000000000327</v>
      </c>
      <c r="N335">
        <f t="shared" si="5"/>
        <v>571.9500000000254</v>
      </c>
    </row>
    <row r="336" spans="1:14" x14ac:dyDescent="0.35">
      <c r="A336" t="s">
        <v>646</v>
      </c>
      <c r="B336" t="s">
        <v>647</v>
      </c>
      <c r="C336" t="s">
        <v>13</v>
      </c>
      <c r="D336">
        <v>25210.2</v>
      </c>
      <c r="E336">
        <v>25167.1</v>
      </c>
      <c r="F336">
        <v>25296.400000000001</v>
      </c>
      <c r="G336">
        <v>25296.400000000001</v>
      </c>
      <c r="H336" t="s">
        <v>14</v>
      </c>
      <c r="I336">
        <v>43.100000000002098</v>
      </c>
      <c r="J336">
        <v>86.200000000004295</v>
      </c>
      <c r="K336">
        <v>86.200000000004295</v>
      </c>
      <c r="L336">
        <f>SUM($K$2:K336)</f>
        <v>633.35000000001151</v>
      </c>
      <c r="M336">
        <f>MAX($L$2:L336)</f>
        <v>1119.1000000000327</v>
      </c>
      <c r="N336">
        <f t="shared" si="5"/>
        <v>485.75000000002115</v>
      </c>
    </row>
    <row r="337" spans="1:14" x14ac:dyDescent="0.35">
      <c r="A337" t="s">
        <v>648</v>
      </c>
      <c r="B337" t="s">
        <v>649</v>
      </c>
      <c r="C337" t="s">
        <v>32</v>
      </c>
      <c r="D337">
        <v>25182.35</v>
      </c>
      <c r="E337">
        <v>25240.400000000001</v>
      </c>
      <c r="F337">
        <v>25066.249999999902</v>
      </c>
      <c r="G337">
        <v>25066.249999999902</v>
      </c>
      <c r="H337" t="s">
        <v>14</v>
      </c>
      <c r="I337">
        <v>58.050000000002903</v>
      </c>
      <c r="J337">
        <v>116.100000000005</v>
      </c>
      <c r="K337">
        <v>116.100000000005</v>
      </c>
      <c r="L337">
        <f>SUM($K$2:K337)</f>
        <v>749.45000000001653</v>
      </c>
      <c r="M337">
        <f>MAX($L$2:L337)</f>
        <v>1119.1000000000327</v>
      </c>
      <c r="N337">
        <f t="shared" si="5"/>
        <v>369.65000000001612</v>
      </c>
    </row>
    <row r="338" spans="1:14" x14ac:dyDescent="0.35">
      <c r="A338" t="s">
        <v>650</v>
      </c>
      <c r="B338" t="s">
        <v>651</v>
      </c>
      <c r="C338" t="s">
        <v>32</v>
      </c>
      <c r="D338">
        <v>25054.7</v>
      </c>
      <c r="E338">
        <v>25077.05</v>
      </c>
      <c r="F338">
        <v>25010</v>
      </c>
      <c r="G338">
        <v>25077.05</v>
      </c>
      <c r="H338" t="s">
        <v>16</v>
      </c>
      <c r="I338">
        <v>22.349999999998499</v>
      </c>
      <c r="J338">
        <v>44.699999999996997</v>
      </c>
      <c r="K338">
        <v>-22.349999999998499</v>
      </c>
      <c r="L338">
        <f>SUM($K$2:K338)</f>
        <v>727.10000000001799</v>
      </c>
      <c r="M338">
        <f>MAX($L$2:L338)</f>
        <v>1119.1000000000327</v>
      </c>
      <c r="N338">
        <f t="shared" si="5"/>
        <v>392.00000000001467</v>
      </c>
    </row>
    <row r="339" spans="1:14" x14ac:dyDescent="0.35">
      <c r="A339" t="s">
        <v>652</v>
      </c>
      <c r="B339" t="s">
        <v>653</v>
      </c>
      <c r="C339" t="s">
        <v>13</v>
      </c>
      <c r="D339">
        <v>25191</v>
      </c>
      <c r="E339">
        <v>25172.65</v>
      </c>
      <c r="F339">
        <v>25227.699999999899</v>
      </c>
      <c r="G339">
        <v>25227.699999999899</v>
      </c>
      <c r="H339" t="s">
        <v>14</v>
      </c>
      <c r="I339">
        <v>18.349999999998499</v>
      </c>
      <c r="J339">
        <v>36.699999999996997</v>
      </c>
      <c r="K339">
        <v>36.699999999996997</v>
      </c>
      <c r="L339">
        <f>SUM($K$2:K339)</f>
        <v>763.80000000001496</v>
      </c>
      <c r="M339">
        <f>MAX($L$2:L339)</f>
        <v>1119.1000000000327</v>
      </c>
      <c r="N339">
        <f t="shared" si="5"/>
        <v>355.30000000001769</v>
      </c>
    </row>
    <row r="340" spans="1:14" x14ac:dyDescent="0.35">
      <c r="A340" t="s">
        <v>654</v>
      </c>
      <c r="B340" t="s">
        <v>655</v>
      </c>
      <c r="C340" t="s">
        <v>13</v>
      </c>
      <c r="D340">
        <v>25240.400000000001</v>
      </c>
      <c r="E340">
        <v>25222.45</v>
      </c>
      <c r="F340">
        <v>25276.3</v>
      </c>
      <c r="G340">
        <v>25222.45</v>
      </c>
      <c r="H340" t="s">
        <v>16</v>
      </c>
      <c r="I340">
        <v>17.950000000000699</v>
      </c>
      <c r="J340">
        <v>35.900000000001398</v>
      </c>
      <c r="K340">
        <v>-17.950000000000699</v>
      </c>
      <c r="L340">
        <f>SUM($K$2:K340)</f>
        <v>745.85000000001423</v>
      </c>
      <c r="M340">
        <f>MAX($L$2:L340)</f>
        <v>1119.1000000000327</v>
      </c>
      <c r="N340">
        <f t="shared" si="5"/>
        <v>373.25000000001842</v>
      </c>
    </row>
    <row r="341" spans="1:14" x14ac:dyDescent="0.35">
      <c r="A341" t="s">
        <v>656</v>
      </c>
      <c r="B341" t="s">
        <v>657</v>
      </c>
      <c r="C341" t="s">
        <v>13</v>
      </c>
      <c r="D341">
        <v>25283.65</v>
      </c>
      <c r="E341">
        <v>25259.9</v>
      </c>
      <c r="F341">
        <v>25331.15</v>
      </c>
      <c r="G341">
        <v>25331.15</v>
      </c>
      <c r="H341" t="s">
        <v>14</v>
      </c>
      <c r="I341">
        <v>23.75</v>
      </c>
      <c r="J341">
        <v>47.5</v>
      </c>
      <c r="K341">
        <v>47.5</v>
      </c>
      <c r="L341">
        <f>SUM($K$2:K341)</f>
        <v>793.35000000001423</v>
      </c>
      <c r="M341">
        <f>MAX($L$2:L341)</f>
        <v>1119.1000000000327</v>
      </c>
      <c r="N341">
        <f t="shared" si="5"/>
        <v>325.75000000001842</v>
      </c>
    </row>
    <row r="342" spans="1:14" x14ac:dyDescent="0.35">
      <c r="A342" t="s">
        <v>658</v>
      </c>
      <c r="B342" t="s">
        <v>659</v>
      </c>
      <c r="C342" t="s">
        <v>13</v>
      </c>
      <c r="D342">
        <v>25388.5</v>
      </c>
      <c r="E342">
        <v>25342.45</v>
      </c>
      <c r="F342">
        <v>25480.6</v>
      </c>
      <c r="G342">
        <v>25480.6</v>
      </c>
      <c r="H342" t="s">
        <v>14</v>
      </c>
      <c r="I342">
        <v>46.049999999999201</v>
      </c>
      <c r="J342">
        <v>92.099999999998502</v>
      </c>
      <c r="K342">
        <v>92.099999999998502</v>
      </c>
      <c r="L342">
        <f>SUM($K$2:K342)</f>
        <v>885.45000000001278</v>
      </c>
      <c r="M342">
        <f>MAX($L$2:L342)</f>
        <v>1119.1000000000327</v>
      </c>
      <c r="N342">
        <f t="shared" si="5"/>
        <v>233.65000000001987</v>
      </c>
    </row>
    <row r="343" spans="1:14" x14ac:dyDescent="0.35">
      <c r="A343" t="s">
        <v>660</v>
      </c>
      <c r="B343" t="s">
        <v>661</v>
      </c>
      <c r="C343" t="s">
        <v>13</v>
      </c>
      <c r="D343">
        <v>25513.25</v>
      </c>
      <c r="E343">
        <v>25480.35</v>
      </c>
      <c r="F343">
        <v>25579.05</v>
      </c>
      <c r="G343">
        <v>25530.400000000001</v>
      </c>
      <c r="H343" t="s">
        <v>23</v>
      </c>
      <c r="I343">
        <v>32.900000000001398</v>
      </c>
      <c r="J343">
        <v>65.800000000002896</v>
      </c>
      <c r="K343">
        <v>17.150000000001398</v>
      </c>
      <c r="L343">
        <f>SUM($K$2:K343)</f>
        <v>902.60000000001423</v>
      </c>
      <c r="M343">
        <f>MAX($L$2:L343)</f>
        <v>1119.1000000000327</v>
      </c>
      <c r="N343">
        <f t="shared" si="5"/>
        <v>216.50000000001842</v>
      </c>
    </row>
    <row r="344" spans="1:14" x14ac:dyDescent="0.35">
      <c r="A344" t="s">
        <v>662</v>
      </c>
      <c r="B344" t="s">
        <v>663</v>
      </c>
      <c r="C344" t="s">
        <v>13</v>
      </c>
      <c r="D344">
        <v>25597.1</v>
      </c>
      <c r="E344">
        <v>25537.35</v>
      </c>
      <c r="F344">
        <v>25716.6</v>
      </c>
      <c r="G344">
        <v>25537.35</v>
      </c>
      <c r="H344" t="s">
        <v>16</v>
      </c>
      <c r="I344">
        <v>59.75</v>
      </c>
      <c r="J344">
        <v>119.5</v>
      </c>
      <c r="K344">
        <v>-59.75</v>
      </c>
      <c r="L344">
        <f>SUM($K$2:K344)</f>
        <v>842.85000000001423</v>
      </c>
      <c r="M344">
        <f>MAX($L$2:L344)</f>
        <v>1119.1000000000327</v>
      </c>
      <c r="N344">
        <f t="shared" si="5"/>
        <v>276.25000000001842</v>
      </c>
    </row>
    <row r="345" spans="1:14" x14ac:dyDescent="0.35">
      <c r="A345" t="s">
        <v>663</v>
      </c>
      <c r="B345" t="s">
        <v>664</v>
      </c>
      <c r="C345" t="s">
        <v>13</v>
      </c>
      <c r="D345">
        <v>25563.8</v>
      </c>
      <c r="E345">
        <v>25523.55</v>
      </c>
      <c r="F345">
        <v>25644.3</v>
      </c>
      <c r="G345">
        <v>25644.3</v>
      </c>
      <c r="H345" t="s">
        <v>14</v>
      </c>
      <c r="I345">
        <v>40.25</v>
      </c>
      <c r="J345">
        <v>80.5</v>
      </c>
      <c r="K345">
        <v>80.5</v>
      </c>
      <c r="L345">
        <f>SUM($K$2:K345)</f>
        <v>923.35000000001423</v>
      </c>
      <c r="M345">
        <f>MAX($L$2:L345)</f>
        <v>1119.1000000000327</v>
      </c>
      <c r="N345">
        <f t="shared" si="5"/>
        <v>195.75000000001842</v>
      </c>
    </row>
    <row r="346" spans="1:14" x14ac:dyDescent="0.35">
      <c r="A346" t="s">
        <v>665</v>
      </c>
      <c r="B346" t="s">
        <v>666</v>
      </c>
      <c r="C346" t="s">
        <v>32</v>
      </c>
      <c r="D346">
        <v>25596.95</v>
      </c>
      <c r="E346">
        <v>25612.6</v>
      </c>
      <c r="F346">
        <v>25565.65</v>
      </c>
      <c r="G346">
        <v>25565.65</v>
      </c>
      <c r="H346" t="s">
        <v>14</v>
      </c>
      <c r="I346">
        <v>15.649999999997799</v>
      </c>
      <c r="J346">
        <v>31.299999999995599</v>
      </c>
      <c r="K346">
        <v>31.299999999995599</v>
      </c>
      <c r="L346">
        <f>SUM($K$2:K346)</f>
        <v>954.65000000000987</v>
      </c>
      <c r="M346">
        <f>MAX($L$2:L346)</f>
        <v>1119.1000000000327</v>
      </c>
      <c r="N346">
        <f t="shared" si="5"/>
        <v>164.45000000002278</v>
      </c>
    </row>
    <row r="347" spans="1:14" x14ac:dyDescent="0.35">
      <c r="A347" t="s">
        <v>667</v>
      </c>
      <c r="B347" t="s">
        <v>668</v>
      </c>
      <c r="C347" t="s">
        <v>32</v>
      </c>
      <c r="D347">
        <v>25566.15</v>
      </c>
      <c r="E347">
        <v>25599.65</v>
      </c>
      <c r="F347">
        <v>25499.15</v>
      </c>
      <c r="G347">
        <v>25499.15</v>
      </c>
      <c r="H347" t="s">
        <v>14</v>
      </c>
      <c r="I347">
        <v>33.5</v>
      </c>
      <c r="J347">
        <v>67</v>
      </c>
      <c r="K347">
        <v>67</v>
      </c>
      <c r="L347">
        <f>SUM($K$2:K347)</f>
        <v>1021.6500000000099</v>
      </c>
      <c r="M347">
        <f>MAX($L$2:L347)</f>
        <v>1119.1000000000327</v>
      </c>
      <c r="N347">
        <f t="shared" si="5"/>
        <v>97.450000000022783</v>
      </c>
    </row>
    <row r="348" spans="1:14" x14ac:dyDescent="0.35">
      <c r="A348" t="s">
        <v>669</v>
      </c>
      <c r="B348" t="s">
        <v>670</v>
      </c>
      <c r="C348" t="s">
        <v>32</v>
      </c>
      <c r="D348">
        <v>25500.9</v>
      </c>
      <c r="E348">
        <v>25514.35</v>
      </c>
      <c r="F348">
        <v>25474</v>
      </c>
      <c r="G348">
        <v>25474</v>
      </c>
      <c r="H348" t="s">
        <v>14</v>
      </c>
      <c r="I348">
        <v>13.449999999997001</v>
      </c>
      <c r="J348">
        <v>26.899999999994101</v>
      </c>
      <c r="K348">
        <v>26.899999999994101</v>
      </c>
      <c r="L348">
        <f>SUM($K$2:K348)</f>
        <v>1048.550000000004</v>
      </c>
      <c r="M348">
        <f>MAX($L$2:L348)</f>
        <v>1119.1000000000327</v>
      </c>
      <c r="N348">
        <f t="shared" si="5"/>
        <v>70.550000000028604</v>
      </c>
    </row>
    <row r="349" spans="1:14" x14ac:dyDescent="0.35">
      <c r="A349" t="s">
        <v>671</v>
      </c>
      <c r="B349" t="s">
        <v>672</v>
      </c>
      <c r="C349" t="s">
        <v>32</v>
      </c>
      <c r="D349">
        <v>25486.65</v>
      </c>
      <c r="E349">
        <v>25502.2</v>
      </c>
      <c r="F349">
        <v>25455.55</v>
      </c>
      <c r="G349">
        <v>25502.2</v>
      </c>
      <c r="H349" t="s">
        <v>16</v>
      </c>
      <c r="I349">
        <v>15.5499999999992</v>
      </c>
      <c r="J349">
        <v>31.099999999998499</v>
      </c>
      <c r="K349">
        <v>-15.5499999999992</v>
      </c>
      <c r="L349">
        <f>SUM($K$2:K349)</f>
        <v>1033.0000000000048</v>
      </c>
      <c r="M349">
        <f>MAX($L$2:L349)</f>
        <v>1119.1000000000327</v>
      </c>
      <c r="N349">
        <f t="shared" si="5"/>
        <v>86.100000000027876</v>
      </c>
    </row>
    <row r="350" spans="1:14" x14ac:dyDescent="0.35">
      <c r="A350" t="s">
        <v>673</v>
      </c>
      <c r="B350" t="s">
        <v>674</v>
      </c>
      <c r="C350" t="s">
        <v>32</v>
      </c>
      <c r="D350">
        <v>25514.75</v>
      </c>
      <c r="E350">
        <v>25526.75</v>
      </c>
      <c r="F350">
        <v>25490.75</v>
      </c>
      <c r="G350">
        <v>25526.75</v>
      </c>
      <c r="H350" t="s">
        <v>16</v>
      </c>
      <c r="I350">
        <v>12</v>
      </c>
      <c r="J350">
        <v>24</v>
      </c>
      <c r="K350">
        <v>-12</v>
      </c>
      <c r="L350">
        <f>SUM($K$2:K350)</f>
        <v>1021.0000000000048</v>
      </c>
      <c r="M350">
        <f>MAX($L$2:L350)</f>
        <v>1119.1000000000327</v>
      </c>
      <c r="N350">
        <f t="shared" si="5"/>
        <v>98.100000000027876</v>
      </c>
    </row>
    <row r="351" spans="1:14" x14ac:dyDescent="0.35">
      <c r="A351" t="s">
        <v>675</v>
      </c>
      <c r="B351" t="s">
        <v>676</v>
      </c>
      <c r="C351" t="s">
        <v>13</v>
      </c>
      <c r="D351">
        <v>25551.85</v>
      </c>
      <c r="E351">
        <v>25537.8</v>
      </c>
      <c r="F351">
        <v>25579.949999999899</v>
      </c>
      <c r="G351">
        <v>25537.8</v>
      </c>
      <c r="H351" t="s">
        <v>16</v>
      </c>
      <c r="I351">
        <v>14.0499999999992</v>
      </c>
      <c r="J351">
        <v>28.099999999998499</v>
      </c>
      <c r="K351">
        <v>-14.0499999999992</v>
      </c>
      <c r="L351">
        <f>SUM($K$2:K351)</f>
        <v>1006.9500000000056</v>
      </c>
      <c r="M351">
        <f>MAX($L$2:L351)</f>
        <v>1119.1000000000327</v>
      </c>
      <c r="N351">
        <f t="shared" si="5"/>
        <v>112.15000000002703</v>
      </c>
    </row>
    <row r="352" spans="1:14" x14ac:dyDescent="0.35">
      <c r="A352" t="s">
        <v>677</v>
      </c>
      <c r="B352" t="s">
        <v>678</v>
      </c>
      <c r="C352" t="s">
        <v>32</v>
      </c>
      <c r="D352">
        <v>25507.7</v>
      </c>
      <c r="E352">
        <v>25525.95</v>
      </c>
      <c r="F352">
        <v>25471.200000000001</v>
      </c>
      <c r="G352">
        <v>25525.95</v>
      </c>
      <c r="H352" t="s">
        <v>16</v>
      </c>
      <c r="I352">
        <v>18.25</v>
      </c>
      <c r="J352">
        <v>36.5</v>
      </c>
      <c r="K352">
        <v>-18.25</v>
      </c>
      <c r="L352">
        <f>SUM($K$2:K352)</f>
        <v>988.70000000000562</v>
      </c>
      <c r="M352">
        <f>MAX($L$2:L352)</f>
        <v>1119.1000000000327</v>
      </c>
      <c r="N352">
        <f t="shared" si="5"/>
        <v>130.40000000002703</v>
      </c>
    </row>
    <row r="353" spans="1:14" x14ac:dyDescent="0.35">
      <c r="A353" t="s">
        <v>679</v>
      </c>
      <c r="B353" t="s">
        <v>680</v>
      </c>
      <c r="C353" t="s">
        <v>32</v>
      </c>
      <c r="D353">
        <v>25494.65</v>
      </c>
      <c r="E353">
        <v>25515.35</v>
      </c>
      <c r="F353">
        <v>25453.25</v>
      </c>
      <c r="G353">
        <v>25453.25</v>
      </c>
      <c r="H353" t="s">
        <v>14</v>
      </c>
      <c r="I353">
        <v>20.699999999997001</v>
      </c>
      <c r="J353">
        <v>41.399999999994101</v>
      </c>
      <c r="K353">
        <v>41.399999999994101</v>
      </c>
      <c r="L353">
        <f>SUM($K$2:K353)</f>
        <v>1030.0999999999997</v>
      </c>
      <c r="M353">
        <f>MAX($L$2:L353)</f>
        <v>1119.1000000000327</v>
      </c>
      <c r="N353">
        <f t="shared" si="5"/>
        <v>89.000000000032969</v>
      </c>
    </row>
    <row r="354" spans="1:14" x14ac:dyDescent="0.35">
      <c r="A354" t="s">
        <v>680</v>
      </c>
      <c r="B354" t="s">
        <v>681</v>
      </c>
      <c r="C354" t="s">
        <v>32</v>
      </c>
      <c r="D354">
        <v>25443.15</v>
      </c>
      <c r="E354">
        <v>25463.65</v>
      </c>
      <c r="F354">
        <v>25402.15</v>
      </c>
      <c r="G354">
        <v>25402.15</v>
      </c>
      <c r="H354" t="s">
        <v>14</v>
      </c>
      <c r="I354">
        <v>20.5</v>
      </c>
      <c r="J354">
        <v>41</v>
      </c>
      <c r="K354">
        <v>41</v>
      </c>
      <c r="L354">
        <f>SUM($K$2:K354)</f>
        <v>1071.0999999999997</v>
      </c>
      <c r="M354">
        <f>MAX($L$2:L354)</f>
        <v>1119.1000000000327</v>
      </c>
      <c r="N354">
        <f t="shared" si="5"/>
        <v>48.000000000032969</v>
      </c>
    </row>
    <row r="355" spans="1:14" x14ac:dyDescent="0.35">
      <c r="A355" t="s">
        <v>682</v>
      </c>
      <c r="B355" t="s">
        <v>683</v>
      </c>
      <c r="C355" t="s">
        <v>32</v>
      </c>
      <c r="D355">
        <v>25407.25</v>
      </c>
      <c r="E355">
        <v>25421.95</v>
      </c>
      <c r="F355">
        <v>25377.85</v>
      </c>
      <c r="G355">
        <v>25421.95</v>
      </c>
      <c r="H355" t="s">
        <v>16</v>
      </c>
      <c r="I355">
        <v>14.700000000000699</v>
      </c>
      <c r="J355">
        <v>29.400000000001398</v>
      </c>
      <c r="K355">
        <v>-14.700000000000699</v>
      </c>
      <c r="L355">
        <f>SUM($K$2:K355)</f>
        <v>1056.399999999999</v>
      </c>
      <c r="M355">
        <f>MAX($L$2:L355)</f>
        <v>1119.1000000000327</v>
      </c>
      <c r="N355">
        <f t="shared" si="5"/>
        <v>62.700000000033697</v>
      </c>
    </row>
    <row r="356" spans="1:14" x14ac:dyDescent="0.35">
      <c r="A356" t="s">
        <v>684</v>
      </c>
      <c r="B356" t="s">
        <v>685</v>
      </c>
      <c r="C356" t="s">
        <v>13</v>
      </c>
      <c r="D356">
        <v>25462.55</v>
      </c>
      <c r="E356">
        <v>25434.85</v>
      </c>
      <c r="F356">
        <v>25517.95</v>
      </c>
      <c r="G356">
        <v>25517.95</v>
      </c>
      <c r="H356" t="s">
        <v>14</v>
      </c>
      <c r="I356">
        <v>27.700000000000699</v>
      </c>
      <c r="J356">
        <v>55.400000000001398</v>
      </c>
      <c r="K356">
        <v>55.400000000001398</v>
      </c>
      <c r="L356">
        <f>SUM($K$2:K356)</f>
        <v>1111.8000000000004</v>
      </c>
      <c r="M356">
        <f>MAX($L$2:L356)</f>
        <v>1119.1000000000327</v>
      </c>
      <c r="N356">
        <f t="shared" si="5"/>
        <v>7.3000000000322416</v>
      </c>
    </row>
    <row r="357" spans="1:14" x14ac:dyDescent="0.35">
      <c r="A357" t="s">
        <v>686</v>
      </c>
      <c r="B357" t="s">
        <v>687</v>
      </c>
      <c r="C357" t="s">
        <v>13</v>
      </c>
      <c r="D357">
        <v>25561.8</v>
      </c>
      <c r="E357">
        <v>25543.55</v>
      </c>
      <c r="F357">
        <v>25598.3</v>
      </c>
      <c r="G357">
        <v>25543.55</v>
      </c>
      <c r="H357" t="s">
        <v>16</v>
      </c>
      <c r="I357">
        <v>18.25</v>
      </c>
      <c r="J357">
        <v>36.5</v>
      </c>
      <c r="K357">
        <v>-18.25</v>
      </c>
      <c r="L357">
        <f>SUM($K$2:K357)</f>
        <v>1093.5500000000004</v>
      </c>
      <c r="M357">
        <f>MAX($L$2:L357)</f>
        <v>1119.1000000000327</v>
      </c>
      <c r="N357">
        <f t="shared" si="5"/>
        <v>25.550000000032242</v>
      </c>
    </row>
    <row r="358" spans="1:14" x14ac:dyDescent="0.35">
      <c r="A358" t="s">
        <v>688</v>
      </c>
      <c r="B358" t="s">
        <v>689</v>
      </c>
      <c r="C358" t="s">
        <v>32</v>
      </c>
      <c r="D358">
        <v>25489.9</v>
      </c>
      <c r="E358">
        <v>25504.9</v>
      </c>
      <c r="F358">
        <v>25459.9</v>
      </c>
      <c r="G358">
        <v>25504.9</v>
      </c>
      <c r="H358" t="s">
        <v>16</v>
      </c>
      <c r="I358">
        <v>15</v>
      </c>
      <c r="J358">
        <v>30</v>
      </c>
      <c r="K358">
        <v>-15</v>
      </c>
      <c r="L358">
        <f>SUM($K$2:K358)</f>
        <v>1078.5500000000004</v>
      </c>
      <c r="M358">
        <f>MAX($L$2:L358)</f>
        <v>1119.1000000000327</v>
      </c>
      <c r="N358">
        <f t="shared" si="5"/>
        <v>40.550000000032242</v>
      </c>
    </row>
    <row r="359" spans="1:14" x14ac:dyDescent="0.35">
      <c r="A359" t="s">
        <v>690</v>
      </c>
      <c r="B359" t="s">
        <v>691</v>
      </c>
      <c r="C359" t="s">
        <v>32</v>
      </c>
      <c r="D359">
        <v>25412.65</v>
      </c>
      <c r="E359">
        <v>25458.65</v>
      </c>
      <c r="F359">
        <v>25320.65</v>
      </c>
      <c r="G359">
        <v>25458.65</v>
      </c>
      <c r="H359" t="s">
        <v>16</v>
      </c>
      <c r="I359">
        <v>46</v>
      </c>
      <c r="J359">
        <v>92</v>
      </c>
      <c r="K359">
        <v>-46</v>
      </c>
      <c r="L359">
        <f>SUM($K$2:K359)</f>
        <v>1032.5500000000004</v>
      </c>
      <c r="M359">
        <f>MAX($L$2:L359)</f>
        <v>1119.1000000000327</v>
      </c>
      <c r="N359">
        <f t="shared" si="5"/>
        <v>86.550000000032242</v>
      </c>
    </row>
    <row r="360" spans="1:14" x14ac:dyDescent="0.35">
      <c r="A360" t="s">
        <v>692</v>
      </c>
      <c r="B360" t="s">
        <v>693</v>
      </c>
      <c r="C360" t="s">
        <v>13</v>
      </c>
      <c r="D360">
        <v>25465.65</v>
      </c>
      <c r="E360">
        <v>25438.9</v>
      </c>
      <c r="F360">
        <v>25519.15</v>
      </c>
      <c r="G360">
        <v>25438.9</v>
      </c>
      <c r="H360" t="s">
        <v>16</v>
      </c>
      <c r="I360">
        <v>26.75</v>
      </c>
      <c r="J360">
        <v>53.5</v>
      </c>
      <c r="K360">
        <v>-26.75</v>
      </c>
      <c r="L360">
        <f>SUM($K$2:K360)</f>
        <v>1005.8000000000004</v>
      </c>
      <c r="M360">
        <f>MAX($L$2:L360)</f>
        <v>1119.1000000000327</v>
      </c>
      <c r="N360">
        <f t="shared" si="5"/>
        <v>113.30000000003224</v>
      </c>
    </row>
    <row r="361" spans="1:14" x14ac:dyDescent="0.35">
      <c r="A361" t="s">
        <v>694</v>
      </c>
      <c r="B361" t="s">
        <v>695</v>
      </c>
      <c r="C361" t="s">
        <v>13</v>
      </c>
      <c r="D361">
        <v>25463.15</v>
      </c>
      <c r="E361">
        <v>25446.799999999999</v>
      </c>
      <c r="F361">
        <v>25495.85</v>
      </c>
      <c r="G361">
        <v>25446.799999999999</v>
      </c>
      <c r="H361" t="s">
        <v>16</v>
      </c>
      <c r="I361">
        <v>16.350000000002101</v>
      </c>
      <c r="J361">
        <v>32.700000000004302</v>
      </c>
      <c r="K361">
        <v>-16.350000000002101</v>
      </c>
      <c r="L361">
        <f>SUM($K$2:K361)</f>
        <v>989.44999999999834</v>
      </c>
      <c r="M361">
        <f>MAX($L$2:L361)</f>
        <v>1119.1000000000327</v>
      </c>
      <c r="N361">
        <f t="shared" si="5"/>
        <v>129.65000000003431</v>
      </c>
    </row>
    <row r="362" spans="1:14" x14ac:dyDescent="0.35">
      <c r="A362" t="s">
        <v>696</v>
      </c>
      <c r="B362" t="s">
        <v>697</v>
      </c>
      <c r="C362" t="s">
        <v>13</v>
      </c>
      <c r="D362">
        <v>25457.15</v>
      </c>
      <c r="E362">
        <v>25424.15</v>
      </c>
      <c r="F362">
        <v>25523.15</v>
      </c>
      <c r="G362">
        <v>25523.15</v>
      </c>
      <c r="H362" t="s">
        <v>14</v>
      </c>
      <c r="I362">
        <v>33</v>
      </c>
      <c r="J362">
        <v>66</v>
      </c>
      <c r="K362">
        <v>66</v>
      </c>
      <c r="L362">
        <f>SUM($K$2:K362)</f>
        <v>1055.4499999999985</v>
      </c>
      <c r="M362">
        <f>MAX($L$2:L362)</f>
        <v>1119.1000000000327</v>
      </c>
      <c r="N362">
        <f t="shared" si="5"/>
        <v>63.650000000034197</v>
      </c>
    </row>
    <row r="363" spans="1:14" x14ac:dyDescent="0.35">
      <c r="A363" t="s">
        <v>698</v>
      </c>
      <c r="B363" t="s">
        <v>699</v>
      </c>
      <c r="C363" t="s">
        <v>13</v>
      </c>
      <c r="D363">
        <v>25527.65</v>
      </c>
      <c r="E363">
        <v>25508.400000000001</v>
      </c>
      <c r="F363">
        <v>25566.15</v>
      </c>
      <c r="G363">
        <v>25508.400000000001</v>
      </c>
      <c r="H363" t="s">
        <v>16</v>
      </c>
      <c r="I363">
        <v>19.25</v>
      </c>
      <c r="J363">
        <v>38.5</v>
      </c>
      <c r="K363">
        <v>-19.25</v>
      </c>
      <c r="L363">
        <f>SUM($K$2:K363)</f>
        <v>1036.1999999999985</v>
      </c>
      <c r="M363">
        <f>MAX($L$2:L363)</f>
        <v>1119.1000000000327</v>
      </c>
      <c r="N363">
        <f t="shared" si="5"/>
        <v>82.900000000034197</v>
      </c>
    </row>
    <row r="364" spans="1:14" x14ac:dyDescent="0.35">
      <c r="A364" t="s">
        <v>700</v>
      </c>
      <c r="B364" t="s">
        <v>701</v>
      </c>
      <c r="C364" t="s">
        <v>32</v>
      </c>
      <c r="D364">
        <v>25508.6</v>
      </c>
      <c r="E364">
        <v>25521.95</v>
      </c>
      <c r="F364">
        <v>25481.8999999999</v>
      </c>
      <c r="G364">
        <v>25481.8999999999</v>
      </c>
      <c r="H364" t="s">
        <v>14</v>
      </c>
      <c r="I364">
        <v>13.350000000002099</v>
      </c>
      <c r="J364">
        <v>26.700000000004302</v>
      </c>
      <c r="K364">
        <v>26.700000000004302</v>
      </c>
      <c r="L364">
        <f>SUM($K$2:K364)</f>
        <v>1062.9000000000028</v>
      </c>
      <c r="M364">
        <f>MAX($L$2:L364)</f>
        <v>1119.1000000000327</v>
      </c>
      <c r="N364">
        <f t="shared" si="5"/>
        <v>56.200000000029831</v>
      </c>
    </row>
    <row r="365" spans="1:14" x14ac:dyDescent="0.35">
      <c r="A365" t="s">
        <v>702</v>
      </c>
      <c r="B365" t="s">
        <v>703</v>
      </c>
      <c r="C365" t="s">
        <v>32</v>
      </c>
      <c r="D365">
        <v>25470.2</v>
      </c>
      <c r="E365">
        <v>25524.05</v>
      </c>
      <c r="F365">
        <v>25362.5</v>
      </c>
      <c r="G365">
        <v>25362.5</v>
      </c>
      <c r="H365" t="s">
        <v>14</v>
      </c>
      <c r="I365">
        <v>53.849999999998502</v>
      </c>
      <c r="J365">
        <v>107.699999999997</v>
      </c>
      <c r="K365">
        <v>107.699999999997</v>
      </c>
      <c r="L365">
        <f>SUM($K$2:K365)</f>
        <v>1170.5999999999999</v>
      </c>
      <c r="M365">
        <f>MAX($L$2:L365)</f>
        <v>1170.5999999999999</v>
      </c>
      <c r="N365">
        <f t="shared" si="5"/>
        <v>0</v>
      </c>
    </row>
    <row r="366" spans="1:14" x14ac:dyDescent="0.35">
      <c r="A366" t="s">
        <v>704</v>
      </c>
      <c r="B366" t="s">
        <v>705</v>
      </c>
      <c r="C366" t="s">
        <v>32</v>
      </c>
      <c r="D366">
        <v>25363.200000000001</v>
      </c>
      <c r="E366">
        <v>25393.1</v>
      </c>
      <c r="F366">
        <v>25303.4</v>
      </c>
      <c r="G366">
        <v>25348.15</v>
      </c>
      <c r="H366" t="s">
        <v>23</v>
      </c>
      <c r="I366">
        <v>29.899999999997799</v>
      </c>
      <c r="J366">
        <v>59.799999999995599</v>
      </c>
      <c r="K366">
        <v>15.0499999999992</v>
      </c>
      <c r="L366">
        <f>SUM($K$2:K366)</f>
        <v>1185.6499999999992</v>
      </c>
      <c r="M366">
        <f>MAX($L$2:L366)</f>
        <v>1185.6499999999992</v>
      </c>
      <c r="N366">
        <f t="shared" si="5"/>
        <v>0</v>
      </c>
    </row>
    <row r="367" spans="1:14" x14ac:dyDescent="0.35">
      <c r="A367" t="s">
        <v>706</v>
      </c>
      <c r="B367" t="s">
        <v>707</v>
      </c>
      <c r="C367" t="s">
        <v>32</v>
      </c>
      <c r="D367">
        <v>25297.55</v>
      </c>
      <c r="E367">
        <v>25315.8</v>
      </c>
      <c r="F367">
        <v>25261.05</v>
      </c>
      <c r="G367">
        <v>25261.05</v>
      </c>
      <c r="H367" t="s">
        <v>14</v>
      </c>
      <c r="I367">
        <v>18.25</v>
      </c>
      <c r="J367">
        <v>36.5</v>
      </c>
      <c r="K367">
        <v>36.5</v>
      </c>
      <c r="L367">
        <f>SUM($K$2:K367)</f>
        <v>1222.1499999999992</v>
      </c>
      <c r="M367">
        <f>MAX($L$2:L367)</f>
        <v>1222.1499999999992</v>
      </c>
      <c r="N367">
        <f t="shared" si="5"/>
        <v>0</v>
      </c>
    </row>
    <row r="368" spans="1:14" x14ac:dyDescent="0.35">
      <c r="A368" t="s">
        <v>708</v>
      </c>
      <c r="B368" t="s">
        <v>709</v>
      </c>
      <c r="C368" t="s">
        <v>32</v>
      </c>
      <c r="D368">
        <v>25166.5</v>
      </c>
      <c r="E368">
        <v>25179.4</v>
      </c>
      <c r="F368">
        <v>25140.699999999899</v>
      </c>
      <c r="G368">
        <v>25179.4</v>
      </c>
      <c r="H368" t="s">
        <v>16</v>
      </c>
      <c r="I368">
        <v>12.9000000000014</v>
      </c>
      <c r="J368">
        <v>25.8000000000029</v>
      </c>
      <c r="K368">
        <v>-12.9000000000014</v>
      </c>
      <c r="L368">
        <f>SUM($K$2:K368)</f>
        <v>1209.2499999999977</v>
      </c>
      <c r="M368">
        <f>MAX($L$2:L368)</f>
        <v>1222.1499999999992</v>
      </c>
      <c r="N368">
        <f t="shared" si="5"/>
        <v>12.900000000001455</v>
      </c>
    </row>
    <row r="369" spans="1:14" x14ac:dyDescent="0.35">
      <c r="A369" t="s">
        <v>710</v>
      </c>
      <c r="B369" t="s">
        <v>711</v>
      </c>
      <c r="C369" t="s">
        <v>32</v>
      </c>
      <c r="D369">
        <v>25163.200000000001</v>
      </c>
      <c r="E369">
        <v>25175.85</v>
      </c>
      <c r="F369">
        <v>25137.9</v>
      </c>
      <c r="G369">
        <v>25137.9</v>
      </c>
      <c r="H369" t="s">
        <v>14</v>
      </c>
      <c r="I369">
        <v>12.649999999997799</v>
      </c>
      <c r="J369">
        <v>25.299999999995599</v>
      </c>
      <c r="K369">
        <v>25.299999999995599</v>
      </c>
      <c r="L369">
        <f>SUM($K$2:K369)</f>
        <v>1234.5499999999934</v>
      </c>
      <c r="M369">
        <f>MAX($L$2:L369)</f>
        <v>1234.5499999999934</v>
      </c>
      <c r="N369">
        <f t="shared" si="5"/>
        <v>0</v>
      </c>
    </row>
    <row r="370" spans="1:14" x14ac:dyDescent="0.35">
      <c r="A370" t="s">
        <v>711</v>
      </c>
      <c r="B370" t="s">
        <v>712</v>
      </c>
      <c r="C370" t="s">
        <v>32</v>
      </c>
      <c r="D370">
        <v>25149.95</v>
      </c>
      <c r="E370">
        <v>25164.2</v>
      </c>
      <c r="F370">
        <v>25121.45</v>
      </c>
      <c r="G370">
        <v>25164.2</v>
      </c>
      <c r="H370" t="s">
        <v>16</v>
      </c>
      <c r="I370">
        <v>14.25</v>
      </c>
      <c r="J370">
        <v>28.5</v>
      </c>
      <c r="K370">
        <v>-14.25</v>
      </c>
      <c r="L370">
        <f>SUM($K$2:K370)</f>
        <v>1220.2999999999934</v>
      </c>
      <c r="M370">
        <f>MAX($L$2:L370)</f>
        <v>1234.5499999999934</v>
      </c>
      <c r="N370">
        <f t="shared" si="5"/>
        <v>14.25</v>
      </c>
    </row>
    <row r="371" spans="1:14" x14ac:dyDescent="0.35">
      <c r="A371" t="s">
        <v>713</v>
      </c>
      <c r="B371" t="s">
        <v>714</v>
      </c>
      <c r="C371" t="s">
        <v>32</v>
      </c>
      <c r="D371">
        <v>25064.2</v>
      </c>
      <c r="E371">
        <v>25080.2</v>
      </c>
      <c r="F371">
        <v>25032.2</v>
      </c>
      <c r="G371">
        <v>25032.2</v>
      </c>
      <c r="H371" t="s">
        <v>14</v>
      </c>
      <c r="I371">
        <v>16</v>
      </c>
      <c r="J371">
        <v>32</v>
      </c>
      <c r="K371">
        <v>32</v>
      </c>
      <c r="L371">
        <f>SUM($K$2:K371)</f>
        <v>1252.2999999999934</v>
      </c>
      <c r="M371">
        <f>MAX($L$2:L371)</f>
        <v>1252.2999999999934</v>
      </c>
      <c r="N371">
        <f t="shared" si="5"/>
        <v>0</v>
      </c>
    </row>
    <row r="372" spans="1:14" x14ac:dyDescent="0.35">
      <c r="A372" t="s">
        <v>715</v>
      </c>
      <c r="B372" t="s">
        <v>716</v>
      </c>
      <c r="C372" t="s">
        <v>32</v>
      </c>
      <c r="D372">
        <v>25043.9</v>
      </c>
      <c r="E372">
        <v>25056.55</v>
      </c>
      <c r="F372">
        <v>25018.6</v>
      </c>
      <c r="G372">
        <v>25056.55</v>
      </c>
      <c r="H372" t="s">
        <v>16</v>
      </c>
      <c r="I372">
        <v>12.649999999997799</v>
      </c>
      <c r="J372">
        <v>25.299999999995599</v>
      </c>
      <c r="K372">
        <v>-12.649999999997799</v>
      </c>
      <c r="L372">
        <f>SUM($K$2:K372)</f>
        <v>1239.6499999999955</v>
      </c>
      <c r="M372">
        <f>MAX($L$2:L372)</f>
        <v>1252.2999999999934</v>
      </c>
      <c r="N372">
        <f t="shared" si="5"/>
        <v>12.649999999997817</v>
      </c>
    </row>
    <row r="373" spans="1:14" x14ac:dyDescent="0.35">
      <c r="A373" t="s">
        <v>717</v>
      </c>
      <c r="B373" t="s">
        <v>718</v>
      </c>
      <c r="C373" t="s">
        <v>32</v>
      </c>
      <c r="D373">
        <v>25020.799999999999</v>
      </c>
      <c r="E373">
        <v>25048.65</v>
      </c>
      <c r="F373">
        <v>24965.0999999999</v>
      </c>
      <c r="G373">
        <v>25048.65</v>
      </c>
      <c r="H373" t="s">
        <v>16</v>
      </c>
      <c r="I373">
        <v>27.850000000002101</v>
      </c>
      <c r="J373">
        <v>55.700000000004302</v>
      </c>
      <c r="K373">
        <v>-27.850000000002101</v>
      </c>
      <c r="L373">
        <f>SUM($K$2:K373)</f>
        <v>1211.7999999999934</v>
      </c>
      <c r="M373">
        <f>MAX($L$2:L373)</f>
        <v>1252.2999999999934</v>
      </c>
      <c r="N373">
        <f t="shared" si="5"/>
        <v>40.5</v>
      </c>
    </row>
    <row r="374" spans="1:14" x14ac:dyDescent="0.35">
      <c r="A374" t="s">
        <v>719</v>
      </c>
      <c r="B374" t="s">
        <v>720</v>
      </c>
      <c r="C374" t="s">
        <v>13</v>
      </c>
      <c r="D374">
        <v>25139.95</v>
      </c>
      <c r="E374">
        <v>25088.45</v>
      </c>
      <c r="F374">
        <v>25242.95</v>
      </c>
      <c r="G374">
        <v>25242.95</v>
      </c>
      <c r="H374" t="s">
        <v>14</v>
      </c>
      <c r="I374">
        <v>51.5</v>
      </c>
      <c r="J374">
        <v>103</v>
      </c>
      <c r="K374">
        <v>103</v>
      </c>
      <c r="L374">
        <f>SUM($K$2:K374)</f>
        <v>1314.7999999999934</v>
      </c>
      <c r="M374">
        <f>MAX($L$2:L374)</f>
        <v>1314.7999999999934</v>
      </c>
      <c r="N374">
        <f t="shared" si="5"/>
        <v>0</v>
      </c>
    </row>
    <row r="375" spans="1:14" x14ac:dyDescent="0.35">
      <c r="A375" t="s">
        <v>721</v>
      </c>
      <c r="B375" t="s">
        <v>722</v>
      </c>
      <c r="C375" t="s">
        <v>32</v>
      </c>
      <c r="D375">
        <v>25178.65</v>
      </c>
      <c r="E375">
        <v>25195.1</v>
      </c>
      <c r="F375">
        <v>25145.75</v>
      </c>
      <c r="G375">
        <v>25195.1</v>
      </c>
      <c r="H375" t="s">
        <v>16</v>
      </c>
      <c r="I375">
        <v>16.449999999997001</v>
      </c>
      <c r="J375">
        <v>32.899999999994101</v>
      </c>
      <c r="K375">
        <v>-16.449999999997001</v>
      </c>
      <c r="L375">
        <f>SUM($K$2:K375)</f>
        <v>1298.3499999999963</v>
      </c>
      <c r="M375">
        <f>MAX($L$2:L375)</f>
        <v>1314.7999999999934</v>
      </c>
      <c r="N375">
        <f t="shared" si="5"/>
        <v>16.44999999999709</v>
      </c>
    </row>
    <row r="376" spans="1:14" x14ac:dyDescent="0.35">
      <c r="A376" t="s">
        <v>723</v>
      </c>
      <c r="B376" t="s">
        <v>724</v>
      </c>
      <c r="C376" t="s">
        <v>32</v>
      </c>
      <c r="D376">
        <v>25154.1</v>
      </c>
      <c r="E376">
        <v>25167.8</v>
      </c>
      <c r="F376">
        <v>25126.699999999899</v>
      </c>
      <c r="G376">
        <v>25126.699999999899</v>
      </c>
      <c r="H376" t="s">
        <v>14</v>
      </c>
      <c r="I376">
        <v>13.700000000000699</v>
      </c>
      <c r="J376">
        <v>27.400000000001398</v>
      </c>
      <c r="K376">
        <v>27.400000000001398</v>
      </c>
      <c r="L376">
        <f>SUM($K$2:K376)</f>
        <v>1325.7499999999977</v>
      </c>
      <c r="M376">
        <f>MAX($L$2:L376)</f>
        <v>1325.7499999999977</v>
      </c>
      <c r="N376">
        <f t="shared" si="5"/>
        <v>0</v>
      </c>
    </row>
    <row r="377" spans="1:14" x14ac:dyDescent="0.35">
      <c r="A377" t="s">
        <v>725</v>
      </c>
      <c r="B377" t="s">
        <v>726</v>
      </c>
      <c r="C377" t="s">
        <v>13</v>
      </c>
      <c r="D377">
        <v>25209.65</v>
      </c>
      <c r="E377">
        <v>25163.85</v>
      </c>
      <c r="F377">
        <v>25301.25</v>
      </c>
      <c r="G377">
        <v>25198.55</v>
      </c>
      <c r="H377" t="s">
        <v>23</v>
      </c>
      <c r="I377">
        <v>45.800000000002903</v>
      </c>
      <c r="J377">
        <v>91.600000000005807</v>
      </c>
      <c r="K377">
        <v>-11.100000000002099</v>
      </c>
      <c r="L377">
        <f>SUM($K$2:K377)</f>
        <v>1314.6499999999955</v>
      </c>
      <c r="M377">
        <f>MAX($L$2:L377)</f>
        <v>1325.7499999999977</v>
      </c>
      <c r="N377">
        <f t="shared" si="5"/>
        <v>11.100000000002183</v>
      </c>
    </row>
    <row r="378" spans="1:14" x14ac:dyDescent="0.35">
      <c r="A378" t="s">
        <v>727</v>
      </c>
      <c r="B378" t="s">
        <v>728</v>
      </c>
      <c r="C378" t="s">
        <v>32</v>
      </c>
      <c r="D378">
        <v>25191.85</v>
      </c>
      <c r="E378">
        <v>25213.65</v>
      </c>
      <c r="F378">
        <v>25148.249999999902</v>
      </c>
      <c r="G378">
        <v>25148.249999999902</v>
      </c>
      <c r="H378" t="s">
        <v>14</v>
      </c>
      <c r="I378">
        <v>21.8000000000029</v>
      </c>
      <c r="J378">
        <v>43.600000000005799</v>
      </c>
      <c r="K378">
        <v>43.600000000005799</v>
      </c>
      <c r="L378">
        <f>SUM($K$2:K378)</f>
        <v>1358.2500000000014</v>
      </c>
      <c r="M378">
        <f>MAX($L$2:L378)</f>
        <v>1358.2500000000014</v>
      </c>
      <c r="N378">
        <f t="shared" si="5"/>
        <v>0</v>
      </c>
    </row>
    <row r="379" spans="1:14" x14ac:dyDescent="0.35">
      <c r="A379" t="s">
        <v>729</v>
      </c>
      <c r="B379" t="s">
        <v>730</v>
      </c>
      <c r="C379" t="s">
        <v>32</v>
      </c>
      <c r="D379">
        <v>25168.3</v>
      </c>
      <c r="E379">
        <v>25178.65</v>
      </c>
      <c r="F379">
        <v>25147.5999999999</v>
      </c>
      <c r="G379">
        <v>25178.65</v>
      </c>
      <c r="H379" t="s">
        <v>16</v>
      </c>
      <c r="I379">
        <v>10.350000000002099</v>
      </c>
      <c r="J379">
        <v>20.700000000004302</v>
      </c>
      <c r="K379">
        <v>-10.350000000002099</v>
      </c>
      <c r="L379">
        <f>SUM($K$2:K379)</f>
        <v>1347.8999999999992</v>
      </c>
      <c r="M379">
        <f>MAX($L$2:L379)</f>
        <v>1358.2500000000014</v>
      </c>
      <c r="N379">
        <f t="shared" si="5"/>
        <v>10.350000000002183</v>
      </c>
    </row>
    <row r="380" spans="1:14" x14ac:dyDescent="0.35">
      <c r="A380" t="s">
        <v>731</v>
      </c>
      <c r="B380" t="s">
        <v>732</v>
      </c>
      <c r="C380" t="s">
        <v>32</v>
      </c>
      <c r="D380">
        <v>25133</v>
      </c>
      <c r="E380">
        <v>25152.1</v>
      </c>
      <c r="F380">
        <v>25094.799999999999</v>
      </c>
      <c r="G380">
        <v>25109.5</v>
      </c>
      <c r="H380" t="s">
        <v>23</v>
      </c>
      <c r="I380">
        <v>19.099999999998499</v>
      </c>
      <c r="J380">
        <v>38.199999999996997</v>
      </c>
      <c r="K380">
        <v>23.5</v>
      </c>
      <c r="L380">
        <f>SUM($K$2:K380)</f>
        <v>1371.3999999999992</v>
      </c>
      <c r="M380">
        <f>MAX($L$2:L380)</f>
        <v>1371.3999999999992</v>
      </c>
      <c r="N380">
        <f t="shared" si="5"/>
        <v>0</v>
      </c>
    </row>
    <row r="381" spans="1:14" x14ac:dyDescent="0.35">
      <c r="A381" t="s">
        <v>733</v>
      </c>
      <c r="B381" t="s">
        <v>734</v>
      </c>
      <c r="C381" t="s">
        <v>32</v>
      </c>
      <c r="D381">
        <v>25086.7</v>
      </c>
      <c r="E381">
        <v>25144.6</v>
      </c>
      <c r="F381">
        <v>24970.9</v>
      </c>
      <c r="G381">
        <v>24970.9</v>
      </c>
      <c r="H381" t="s">
        <v>14</v>
      </c>
      <c r="I381">
        <v>57.899999999997803</v>
      </c>
      <c r="J381">
        <v>115.79999999999499</v>
      </c>
      <c r="K381">
        <v>115.79999999999499</v>
      </c>
      <c r="L381">
        <f>SUM($K$2:K381)</f>
        <v>1487.1999999999941</v>
      </c>
      <c r="M381">
        <f>MAX($L$2:L381)</f>
        <v>1487.1999999999941</v>
      </c>
      <c r="N381">
        <f t="shared" si="5"/>
        <v>0</v>
      </c>
    </row>
    <row r="382" spans="1:14" x14ac:dyDescent="0.35">
      <c r="A382" t="s">
        <v>735</v>
      </c>
      <c r="B382" t="s">
        <v>736</v>
      </c>
      <c r="C382" t="s">
        <v>32</v>
      </c>
      <c r="D382">
        <v>24922</v>
      </c>
      <c r="E382">
        <v>24952.9</v>
      </c>
      <c r="F382">
        <v>24860.199999999899</v>
      </c>
      <c r="G382">
        <v>24952.9</v>
      </c>
      <c r="H382" t="s">
        <v>16</v>
      </c>
      <c r="I382">
        <v>30.900000000001398</v>
      </c>
      <c r="J382">
        <v>61.800000000002903</v>
      </c>
      <c r="K382">
        <v>-30.900000000001398</v>
      </c>
      <c r="L382">
        <f>SUM($K$2:K382)</f>
        <v>1456.2999999999927</v>
      </c>
      <c r="M382">
        <f>MAX($L$2:L382)</f>
        <v>1487.1999999999941</v>
      </c>
      <c r="N382">
        <f t="shared" si="5"/>
        <v>30.900000000001455</v>
      </c>
    </row>
    <row r="383" spans="1:14" x14ac:dyDescent="0.35">
      <c r="A383" t="s">
        <v>737</v>
      </c>
      <c r="B383" t="s">
        <v>738</v>
      </c>
      <c r="C383" t="s">
        <v>32</v>
      </c>
      <c r="D383">
        <v>24940.400000000001</v>
      </c>
      <c r="E383">
        <v>24953.95</v>
      </c>
      <c r="F383">
        <v>24913.3</v>
      </c>
      <c r="G383">
        <v>24953.95</v>
      </c>
      <c r="H383" t="s">
        <v>16</v>
      </c>
      <c r="I383">
        <v>13.5499999999992</v>
      </c>
      <c r="J383">
        <v>27.099999999998499</v>
      </c>
      <c r="K383">
        <v>-13.5499999999992</v>
      </c>
      <c r="L383">
        <f>SUM($K$2:K383)</f>
        <v>1442.7499999999934</v>
      </c>
      <c r="M383">
        <f>MAX($L$2:L383)</f>
        <v>1487.1999999999941</v>
      </c>
      <c r="N383">
        <f t="shared" si="5"/>
        <v>44.450000000000728</v>
      </c>
    </row>
    <row r="384" spans="1:14" x14ac:dyDescent="0.35">
      <c r="A384" t="s">
        <v>739</v>
      </c>
      <c r="B384" t="s">
        <v>740</v>
      </c>
      <c r="C384" t="s">
        <v>32</v>
      </c>
      <c r="D384">
        <v>24925.4</v>
      </c>
      <c r="E384">
        <v>24956.799999999999</v>
      </c>
      <c r="F384">
        <v>24862.6</v>
      </c>
      <c r="G384">
        <v>24956.799999999999</v>
      </c>
      <c r="H384" t="s">
        <v>16</v>
      </c>
      <c r="I384">
        <v>31.399999999997799</v>
      </c>
      <c r="J384">
        <v>62.799999999995599</v>
      </c>
      <c r="K384">
        <v>-31.399999999997799</v>
      </c>
      <c r="L384">
        <f>SUM($K$2:K384)</f>
        <v>1411.3499999999956</v>
      </c>
      <c r="M384">
        <f>MAX($L$2:L384)</f>
        <v>1487.1999999999941</v>
      </c>
      <c r="N384">
        <f t="shared" si="5"/>
        <v>75.849999999998545</v>
      </c>
    </row>
    <row r="385" spans="1:14" x14ac:dyDescent="0.35">
      <c r="A385" t="s">
        <v>741</v>
      </c>
      <c r="B385" t="s">
        <v>742</v>
      </c>
      <c r="C385" t="s">
        <v>13</v>
      </c>
      <c r="D385">
        <v>25060.2</v>
      </c>
      <c r="E385">
        <v>25047.1</v>
      </c>
      <c r="F385">
        <v>25086.400000000001</v>
      </c>
      <c r="G385">
        <v>25047.1</v>
      </c>
      <c r="H385" t="s">
        <v>16</v>
      </c>
      <c r="I385">
        <v>13.100000000002099</v>
      </c>
      <c r="J385">
        <v>26.200000000004302</v>
      </c>
      <c r="K385">
        <v>-13.100000000002099</v>
      </c>
      <c r="L385">
        <f>SUM($K$2:K385)</f>
        <v>1398.2499999999934</v>
      </c>
      <c r="M385">
        <f>MAX($L$2:L385)</f>
        <v>1487.1999999999941</v>
      </c>
      <c r="N385">
        <f t="shared" si="5"/>
        <v>88.950000000000728</v>
      </c>
    </row>
    <row r="386" spans="1:14" x14ac:dyDescent="0.35">
      <c r="A386" t="s">
        <v>743</v>
      </c>
      <c r="B386" t="s">
        <v>744</v>
      </c>
      <c r="C386" t="s">
        <v>32</v>
      </c>
      <c r="D386">
        <v>25056.05</v>
      </c>
      <c r="E386">
        <v>25078</v>
      </c>
      <c r="F386">
        <v>25012.1499999999</v>
      </c>
      <c r="G386">
        <v>25078</v>
      </c>
      <c r="H386" t="s">
        <v>16</v>
      </c>
      <c r="I386">
        <v>21.950000000000699</v>
      </c>
      <c r="J386">
        <v>43.900000000001398</v>
      </c>
      <c r="K386">
        <v>-21.950000000000699</v>
      </c>
      <c r="L386">
        <f>SUM($K$2:K386)</f>
        <v>1376.2999999999927</v>
      </c>
      <c r="M386">
        <f>MAX($L$2:L386)</f>
        <v>1487.1999999999941</v>
      </c>
      <c r="N386">
        <f t="shared" ref="N386:N449" si="6">M386-L386</f>
        <v>110.90000000000146</v>
      </c>
    </row>
    <row r="387" spans="1:14" x14ac:dyDescent="0.35">
      <c r="A387" t="s">
        <v>745</v>
      </c>
      <c r="B387" t="s">
        <v>746</v>
      </c>
      <c r="C387" t="s">
        <v>13</v>
      </c>
      <c r="D387">
        <v>25110.799999999999</v>
      </c>
      <c r="E387">
        <v>25098.3</v>
      </c>
      <c r="F387">
        <v>25135.8</v>
      </c>
      <c r="G387">
        <v>25098.3</v>
      </c>
      <c r="H387" t="s">
        <v>16</v>
      </c>
      <c r="I387">
        <v>12.5</v>
      </c>
      <c r="J387">
        <v>25</v>
      </c>
      <c r="K387">
        <v>-12.5</v>
      </c>
      <c r="L387">
        <f>SUM($K$2:K387)</f>
        <v>1363.7999999999927</v>
      </c>
      <c r="M387">
        <f>MAX($L$2:L387)</f>
        <v>1487.1999999999941</v>
      </c>
      <c r="N387">
        <f t="shared" si="6"/>
        <v>123.40000000000146</v>
      </c>
    </row>
    <row r="388" spans="1:14" x14ac:dyDescent="0.35">
      <c r="A388" t="s">
        <v>747</v>
      </c>
      <c r="B388" t="s">
        <v>748</v>
      </c>
      <c r="C388" t="s">
        <v>13</v>
      </c>
      <c r="D388">
        <v>25116.9</v>
      </c>
      <c r="E388">
        <v>25101.1</v>
      </c>
      <c r="F388">
        <v>25148.5</v>
      </c>
      <c r="G388">
        <v>25101.1</v>
      </c>
      <c r="H388" t="s">
        <v>16</v>
      </c>
      <c r="I388">
        <v>15.8000000000029</v>
      </c>
      <c r="J388">
        <v>31.600000000005799</v>
      </c>
      <c r="K388">
        <v>-15.8000000000029</v>
      </c>
      <c r="L388">
        <f>SUM($K$2:K388)</f>
        <v>1347.9999999999898</v>
      </c>
      <c r="M388">
        <f>MAX($L$2:L388)</f>
        <v>1487.1999999999941</v>
      </c>
      <c r="N388">
        <f t="shared" si="6"/>
        <v>139.20000000000437</v>
      </c>
    </row>
    <row r="389" spans="1:14" x14ac:dyDescent="0.35">
      <c r="A389" t="s">
        <v>749</v>
      </c>
      <c r="B389" t="s">
        <v>750</v>
      </c>
      <c r="C389" t="s">
        <v>13</v>
      </c>
      <c r="D389">
        <v>25109.3</v>
      </c>
      <c r="E389">
        <v>25093.45</v>
      </c>
      <c r="F389">
        <v>25140.999999999902</v>
      </c>
      <c r="G389">
        <v>25140.999999999902</v>
      </c>
      <c r="H389" t="s">
        <v>14</v>
      </c>
      <c r="I389">
        <v>15.8499999999985</v>
      </c>
      <c r="J389">
        <v>31.699999999997001</v>
      </c>
      <c r="K389">
        <v>31.699999999997001</v>
      </c>
      <c r="L389">
        <f>SUM($K$2:K389)</f>
        <v>1379.6999999999869</v>
      </c>
      <c r="M389">
        <f>MAX($L$2:L389)</f>
        <v>1487.1999999999941</v>
      </c>
      <c r="N389">
        <f t="shared" si="6"/>
        <v>107.50000000000728</v>
      </c>
    </row>
    <row r="390" spans="1:14" x14ac:dyDescent="0.35">
      <c r="A390" t="s">
        <v>750</v>
      </c>
      <c r="B390" t="s">
        <v>751</v>
      </c>
      <c r="C390" t="s">
        <v>13</v>
      </c>
      <c r="D390">
        <v>25138.9</v>
      </c>
      <c r="E390">
        <v>25121.5</v>
      </c>
      <c r="F390">
        <v>25173.7</v>
      </c>
      <c r="G390">
        <v>25121.5</v>
      </c>
      <c r="H390" t="s">
        <v>16</v>
      </c>
      <c r="I390">
        <v>17.400000000001398</v>
      </c>
      <c r="J390">
        <v>34.800000000002903</v>
      </c>
      <c r="K390">
        <v>-17.400000000001398</v>
      </c>
      <c r="L390">
        <f>SUM($K$2:K390)</f>
        <v>1362.2999999999854</v>
      </c>
      <c r="M390">
        <f>MAX($L$2:L390)</f>
        <v>1487.1999999999941</v>
      </c>
      <c r="N390">
        <f t="shared" si="6"/>
        <v>124.90000000000873</v>
      </c>
    </row>
    <row r="391" spans="1:14" x14ac:dyDescent="0.35">
      <c r="A391" t="s">
        <v>752</v>
      </c>
      <c r="B391" t="s">
        <v>753</v>
      </c>
      <c r="C391" t="s">
        <v>32</v>
      </c>
      <c r="D391">
        <v>25175.95</v>
      </c>
      <c r="E391">
        <v>25195.9</v>
      </c>
      <c r="F391">
        <v>25136.05</v>
      </c>
      <c r="G391">
        <v>25136.05</v>
      </c>
      <c r="H391" t="s">
        <v>14</v>
      </c>
      <c r="I391">
        <v>19.950000000000699</v>
      </c>
      <c r="J391">
        <v>39.900000000001398</v>
      </c>
      <c r="K391">
        <v>39.900000000001398</v>
      </c>
      <c r="L391">
        <f>SUM($K$2:K391)</f>
        <v>1402.1999999999869</v>
      </c>
      <c r="M391">
        <f>MAX($L$2:L391)</f>
        <v>1487.1999999999941</v>
      </c>
      <c r="N391">
        <f t="shared" si="6"/>
        <v>85.000000000007276</v>
      </c>
    </row>
    <row r="392" spans="1:14" x14ac:dyDescent="0.35">
      <c r="A392" t="s">
        <v>753</v>
      </c>
      <c r="B392" t="s">
        <v>754</v>
      </c>
      <c r="C392" t="s">
        <v>32</v>
      </c>
      <c r="D392">
        <v>25114.1</v>
      </c>
      <c r="E392">
        <v>25145.05</v>
      </c>
      <c r="F392">
        <v>25052.199999999899</v>
      </c>
      <c r="G392">
        <v>25052.199999999899</v>
      </c>
      <c r="H392" t="s">
        <v>14</v>
      </c>
      <c r="I392">
        <v>30.950000000000699</v>
      </c>
      <c r="J392">
        <v>61.900000000001398</v>
      </c>
      <c r="K392">
        <v>61.900000000001398</v>
      </c>
      <c r="L392">
        <f>SUM($K$2:K392)</f>
        <v>1464.0999999999883</v>
      </c>
      <c r="M392">
        <f>MAX($L$2:L392)</f>
        <v>1487.1999999999941</v>
      </c>
      <c r="N392">
        <f t="shared" si="6"/>
        <v>23.100000000005821</v>
      </c>
    </row>
    <row r="393" spans="1:14" x14ac:dyDescent="0.35">
      <c r="A393" t="s">
        <v>755</v>
      </c>
      <c r="B393" t="s">
        <v>756</v>
      </c>
      <c r="C393" t="s">
        <v>32</v>
      </c>
      <c r="D393">
        <v>25040.799999999999</v>
      </c>
      <c r="E393">
        <v>25071.8</v>
      </c>
      <c r="F393">
        <v>24978.799999999999</v>
      </c>
      <c r="G393">
        <v>25071.8</v>
      </c>
      <c r="H393" t="s">
        <v>16</v>
      </c>
      <c r="I393">
        <v>31</v>
      </c>
      <c r="J393">
        <v>62</v>
      </c>
      <c r="K393">
        <v>-31</v>
      </c>
      <c r="L393">
        <f>SUM($K$2:K393)</f>
        <v>1433.0999999999883</v>
      </c>
      <c r="M393">
        <f>MAX($L$2:L393)</f>
        <v>1487.1999999999941</v>
      </c>
      <c r="N393">
        <f t="shared" si="6"/>
        <v>54.100000000005821</v>
      </c>
    </row>
    <row r="394" spans="1:14" x14ac:dyDescent="0.35">
      <c r="A394" t="s">
        <v>757</v>
      </c>
      <c r="B394" t="s">
        <v>758</v>
      </c>
      <c r="C394" t="s">
        <v>32</v>
      </c>
      <c r="D394">
        <v>24868.5</v>
      </c>
      <c r="E394">
        <v>24883.75</v>
      </c>
      <c r="F394">
        <v>24838</v>
      </c>
      <c r="G394">
        <v>24883.75</v>
      </c>
      <c r="H394" t="s">
        <v>16</v>
      </c>
      <c r="I394">
        <v>15.25</v>
      </c>
      <c r="J394">
        <v>30.5</v>
      </c>
      <c r="K394">
        <v>-15.25</v>
      </c>
      <c r="L394">
        <f>SUM($K$2:K394)</f>
        <v>1417.8499999999883</v>
      </c>
      <c r="M394">
        <f>MAX($L$2:L394)</f>
        <v>1487.1999999999941</v>
      </c>
      <c r="N394">
        <f t="shared" si="6"/>
        <v>69.350000000005821</v>
      </c>
    </row>
    <row r="395" spans="1:14" x14ac:dyDescent="0.35">
      <c r="A395" t="s">
        <v>759</v>
      </c>
      <c r="B395" t="s">
        <v>760</v>
      </c>
      <c r="C395" t="s">
        <v>32</v>
      </c>
      <c r="D395">
        <v>24872.45</v>
      </c>
      <c r="E395">
        <v>24916.85</v>
      </c>
      <c r="F395">
        <v>24783.65</v>
      </c>
      <c r="G395">
        <v>24832.2</v>
      </c>
      <c r="H395" t="s">
        <v>23</v>
      </c>
      <c r="I395">
        <v>44.399999999997803</v>
      </c>
      <c r="J395">
        <v>88.799999999995606</v>
      </c>
      <c r="K395">
        <v>40.25</v>
      </c>
      <c r="L395">
        <f>SUM($K$2:K395)</f>
        <v>1458.0999999999883</v>
      </c>
      <c r="M395">
        <f>MAX($L$2:L395)</f>
        <v>1487.1999999999941</v>
      </c>
      <c r="N395">
        <f t="shared" si="6"/>
        <v>29.100000000005821</v>
      </c>
    </row>
    <row r="396" spans="1:14" x14ac:dyDescent="0.35">
      <c r="A396" t="s">
        <v>761</v>
      </c>
      <c r="B396" t="s">
        <v>762</v>
      </c>
      <c r="C396" t="s">
        <v>32</v>
      </c>
      <c r="D396">
        <v>24785.05</v>
      </c>
      <c r="E396">
        <v>24827.1</v>
      </c>
      <c r="F396">
        <v>24700.95</v>
      </c>
      <c r="G396">
        <v>24827.1</v>
      </c>
      <c r="H396" t="s">
        <v>16</v>
      </c>
      <c r="I396">
        <v>42.049999999999201</v>
      </c>
      <c r="J396">
        <v>84.099999999998502</v>
      </c>
      <c r="K396">
        <v>-42.049999999999201</v>
      </c>
      <c r="L396">
        <f>SUM($K$2:K396)</f>
        <v>1416.049999999989</v>
      </c>
      <c r="M396">
        <f>MAX($L$2:L396)</f>
        <v>1487.1999999999941</v>
      </c>
      <c r="N396">
        <f t="shared" si="6"/>
        <v>71.150000000005093</v>
      </c>
    </row>
    <row r="397" spans="1:14" x14ac:dyDescent="0.35">
      <c r="A397" t="s">
        <v>763</v>
      </c>
      <c r="B397" t="s">
        <v>764</v>
      </c>
      <c r="C397" t="s">
        <v>32</v>
      </c>
      <c r="D397">
        <v>24813.35</v>
      </c>
      <c r="E397">
        <v>24844.65</v>
      </c>
      <c r="F397">
        <v>24750.749999999902</v>
      </c>
      <c r="G397">
        <v>24750.749999999902</v>
      </c>
      <c r="H397" t="s">
        <v>14</v>
      </c>
      <c r="I397">
        <v>31.3000000000029</v>
      </c>
      <c r="J397">
        <v>62.600000000005799</v>
      </c>
      <c r="K397">
        <v>62.600000000005799</v>
      </c>
      <c r="L397">
        <f>SUM($K$2:K397)</f>
        <v>1478.6499999999949</v>
      </c>
      <c r="M397">
        <f>MAX($L$2:L397)</f>
        <v>1487.1999999999941</v>
      </c>
      <c r="N397">
        <f t="shared" si="6"/>
        <v>8.5499999999992724</v>
      </c>
    </row>
    <row r="398" spans="1:14" x14ac:dyDescent="0.35">
      <c r="A398" t="s">
        <v>764</v>
      </c>
      <c r="B398" t="s">
        <v>765</v>
      </c>
      <c r="C398" t="s">
        <v>32</v>
      </c>
      <c r="D398">
        <v>24744.75</v>
      </c>
      <c r="E398">
        <v>24774.45</v>
      </c>
      <c r="F398">
        <v>24685.35</v>
      </c>
      <c r="G398">
        <v>24685.35</v>
      </c>
      <c r="H398" t="s">
        <v>14</v>
      </c>
      <c r="I398">
        <v>29.700000000000699</v>
      </c>
      <c r="J398">
        <v>59.400000000001398</v>
      </c>
      <c r="K398">
        <v>59.400000000001398</v>
      </c>
      <c r="L398">
        <f>SUM($K$2:K398)</f>
        <v>1538.0499999999963</v>
      </c>
      <c r="M398">
        <f>MAX($L$2:L398)</f>
        <v>1538.0499999999963</v>
      </c>
      <c r="N398">
        <f t="shared" si="6"/>
        <v>0</v>
      </c>
    </row>
    <row r="399" spans="1:14" x14ac:dyDescent="0.35">
      <c r="A399" t="s">
        <v>766</v>
      </c>
      <c r="B399" t="s">
        <v>767</v>
      </c>
      <c r="C399" t="s">
        <v>32</v>
      </c>
      <c r="D399">
        <v>24676.65</v>
      </c>
      <c r="E399">
        <v>24698.95</v>
      </c>
      <c r="F399">
        <v>24632.05</v>
      </c>
      <c r="G399">
        <v>24698.95</v>
      </c>
      <c r="H399" t="s">
        <v>16</v>
      </c>
      <c r="I399">
        <v>22.299999999999201</v>
      </c>
      <c r="J399">
        <v>44.599999999998502</v>
      </c>
      <c r="K399">
        <v>-22.299999999999201</v>
      </c>
      <c r="L399">
        <f>SUM($K$2:K399)</f>
        <v>1515.749999999997</v>
      </c>
      <c r="M399">
        <f>MAX($L$2:L399)</f>
        <v>1538.0499999999963</v>
      </c>
      <c r="N399">
        <f t="shared" si="6"/>
        <v>22.299999999999272</v>
      </c>
    </row>
    <row r="400" spans="1:14" x14ac:dyDescent="0.35">
      <c r="A400" t="s">
        <v>768</v>
      </c>
      <c r="B400" t="s">
        <v>769</v>
      </c>
      <c r="C400" t="s">
        <v>32</v>
      </c>
      <c r="D400">
        <v>24663.65</v>
      </c>
      <c r="E400">
        <v>24692.15</v>
      </c>
      <c r="F400">
        <v>24606.65</v>
      </c>
      <c r="G400">
        <v>24692.15</v>
      </c>
      <c r="H400" t="s">
        <v>16</v>
      </c>
      <c r="I400">
        <v>28.5</v>
      </c>
      <c r="J400">
        <v>57</v>
      </c>
      <c r="K400">
        <v>-28.5</v>
      </c>
      <c r="L400">
        <f>SUM($K$2:K400)</f>
        <v>1487.249999999997</v>
      </c>
      <c r="M400">
        <f>MAX($L$2:L400)</f>
        <v>1538.0499999999963</v>
      </c>
      <c r="N400">
        <f t="shared" si="6"/>
        <v>50.799999999999272</v>
      </c>
    </row>
    <row r="401" spans="1:14" x14ac:dyDescent="0.35">
      <c r="A401" t="s">
        <v>770</v>
      </c>
      <c r="B401" t="s">
        <v>771</v>
      </c>
      <c r="C401" t="s">
        <v>13</v>
      </c>
      <c r="D401">
        <v>24701.75</v>
      </c>
      <c r="E401">
        <v>24682.65</v>
      </c>
      <c r="F401">
        <v>24739.949999999899</v>
      </c>
      <c r="G401">
        <v>24682.65</v>
      </c>
      <c r="H401" t="s">
        <v>16</v>
      </c>
      <c r="I401">
        <v>19.099999999998499</v>
      </c>
      <c r="J401">
        <v>38.199999999996997</v>
      </c>
      <c r="K401">
        <v>-19.099999999998499</v>
      </c>
      <c r="L401">
        <f>SUM($K$2:K401)</f>
        <v>1468.1499999999985</v>
      </c>
      <c r="M401">
        <f>MAX($L$2:L401)</f>
        <v>1538.0499999999963</v>
      </c>
      <c r="N401">
        <f t="shared" si="6"/>
        <v>69.899999999997817</v>
      </c>
    </row>
    <row r="402" spans="1:14" x14ac:dyDescent="0.35">
      <c r="A402" t="s">
        <v>772</v>
      </c>
      <c r="B402" t="s">
        <v>773</v>
      </c>
      <c r="C402" t="s">
        <v>13</v>
      </c>
      <c r="D402">
        <v>24867.45</v>
      </c>
      <c r="E402">
        <v>24831.95</v>
      </c>
      <c r="F402">
        <v>24938.45</v>
      </c>
      <c r="G402">
        <v>24831.95</v>
      </c>
      <c r="H402" t="s">
        <v>16</v>
      </c>
      <c r="I402">
        <v>35.5</v>
      </c>
      <c r="J402">
        <v>71</v>
      </c>
      <c r="K402">
        <v>-35.5</v>
      </c>
      <c r="L402">
        <f>SUM($K$2:K402)</f>
        <v>1432.6499999999985</v>
      </c>
      <c r="M402">
        <f>MAX($L$2:L402)</f>
        <v>1538.0499999999963</v>
      </c>
      <c r="N402">
        <f t="shared" si="6"/>
        <v>105.39999999999782</v>
      </c>
    </row>
    <row r="403" spans="1:14" x14ac:dyDescent="0.35">
      <c r="A403" t="s">
        <v>774</v>
      </c>
      <c r="B403" t="s">
        <v>775</v>
      </c>
      <c r="C403" t="s">
        <v>13</v>
      </c>
      <c r="D403">
        <v>24839.35</v>
      </c>
      <c r="E403">
        <v>24816.45</v>
      </c>
      <c r="F403">
        <v>24885.1499999999</v>
      </c>
      <c r="G403">
        <v>24816.45</v>
      </c>
      <c r="H403" t="s">
        <v>16</v>
      </c>
      <c r="I403">
        <v>22.899999999997799</v>
      </c>
      <c r="J403">
        <v>45.799999999995599</v>
      </c>
      <c r="K403">
        <v>-22.899999999997799</v>
      </c>
      <c r="L403">
        <f>SUM($K$2:K403)</f>
        <v>1409.7500000000007</v>
      </c>
      <c r="M403">
        <f>MAX($L$2:L403)</f>
        <v>1538.0499999999963</v>
      </c>
      <c r="N403">
        <f t="shared" si="6"/>
        <v>128.29999999999563</v>
      </c>
    </row>
    <row r="404" spans="1:14" x14ac:dyDescent="0.35">
      <c r="A404" t="s">
        <v>776</v>
      </c>
      <c r="B404" t="s">
        <v>777</v>
      </c>
      <c r="C404" t="s">
        <v>13</v>
      </c>
      <c r="D404">
        <v>24819.35</v>
      </c>
      <c r="E404">
        <v>24759.599999999999</v>
      </c>
      <c r="F404">
        <v>24938.85</v>
      </c>
      <c r="G404">
        <v>24938.85</v>
      </c>
      <c r="H404" t="s">
        <v>14</v>
      </c>
      <c r="I404">
        <v>59.75</v>
      </c>
      <c r="J404">
        <v>119.5</v>
      </c>
      <c r="K404">
        <v>119.5</v>
      </c>
      <c r="L404">
        <f>SUM($K$2:K404)</f>
        <v>1529.2500000000007</v>
      </c>
      <c r="M404">
        <f>MAX($L$2:L404)</f>
        <v>1538.0499999999963</v>
      </c>
      <c r="N404">
        <f t="shared" si="6"/>
        <v>8.7999999999956344</v>
      </c>
    </row>
    <row r="405" spans="1:14" x14ac:dyDescent="0.35">
      <c r="A405" t="s">
        <v>778</v>
      </c>
      <c r="B405" t="s">
        <v>779</v>
      </c>
      <c r="C405" t="s">
        <v>13</v>
      </c>
      <c r="D405">
        <v>24918.400000000001</v>
      </c>
      <c r="E405">
        <v>24905.9</v>
      </c>
      <c r="F405">
        <v>24943.4</v>
      </c>
      <c r="G405">
        <v>24943.4</v>
      </c>
      <c r="H405" t="s">
        <v>14</v>
      </c>
      <c r="I405">
        <v>12.5</v>
      </c>
      <c r="J405">
        <v>25</v>
      </c>
      <c r="K405">
        <v>25</v>
      </c>
      <c r="L405">
        <f>SUM($K$2:K405)</f>
        <v>1554.2500000000007</v>
      </c>
      <c r="M405">
        <f>MAX($L$2:L405)</f>
        <v>1554.2500000000007</v>
      </c>
      <c r="N405">
        <f t="shared" si="6"/>
        <v>0</v>
      </c>
    </row>
    <row r="406" spans="1:14" x14ac:dyDescent="0.35">
      <c r="A406" t="s">
        <v>779</v>
      </c>
      <c r="B406" t="s">
        <v>780</v>
      </c>
      <c r="C406" t="s">
        <v>13</v>
      </c>
      <c r="D406">
        <v>24941.15</v>
      </c>
      <c r="E406">
        <v>24916.15</v>
      </c>
      <c r="F406">
        <v>24991.15</v>
      </c>
      <c r="G406">
        <v>24916.15</v>
      </c>
      <c r="H406" t="s">
        <v>16</v>
      </c>
      <c r="I406">
        <v>25</v>
      </c>
      <c r="J406">
        <v>50</v>
      </c>
      <c r="K406">
        <v>-25</v>
      </c>
      <c r="L406">
        <f>SUM($K$2:K406)</f>
        <v>1529.2500000000007</v>
      </c>
      <c r="M406">
        <f>MAX($L$2:L406)</f>
        <v>1554.2500000000007</v>
      </c>
      <c r="N406">
        <f t="shared" si="6"/>
        <v>25</v>
      </c>
    </row>
    <row r="407" spans="1:14" x14ac:dyDescent="0.35">
      <c r="A407" t="s">
        <v>781</v>
      </c>
      <c r="B407" t="s">
        <v>782</v>
      </c>
      <c r="C407" t="s">
        <v>32</v>
      </c>
      <c r="D407">
        <v>24721.35</v>
      </c>
      <c r="E407">
        <v>24767.599999999999</v>
      </c>
      <c r="F407">
        <v>24628.85</v>
      </c>
      <c r="G407">
        <v>24628.85</v>
      </c>
      <c r="H407" t="s">
        <v>14</v>
      </c>
      <c r="I407">
        <v>46.25</v>
      </c>
      <c r="J407">
        <v>92.5</v>
      </c>
      <c r="K407">
        <v>92.5</v>
      </c>
      <c r="L407">
        <f>SUM($K$2:K407)</f>
        <v>1621.7500000000007</v>
      </c>
      <c r="M407">
        <f>MAX($L$2:L407)</f>
        <v>1621.7500000000007</v>
      </c>
      <c r="N407">
        <f t="shared" si="6"/>
        <v>0</v>
      </c>
    </row>
    <row r="408" spans="1:14" x14ac:dyDescent="0.35">
      <c r="A408" t="s">
        <v>783</v>
      </c>
      <c r="B408" t="s">
        <v>784</v>
      </c>
      <c r="C408" t="s">
        <v>32</v>
      </c>
      <c r="D408">
        <v>24643.85</v>
      </c>
      <c r="E408">
        <v>24666.65</v>
      </c>
      <c r="F408">
        <v>24598.249999999902</v>
      </c>
      <c r="G408">
        <v>24598.249999999902</v>
      </c>
      <c r="H408" t="s">
        <v>14</v>
      </c>
      <c r="I408">
        <v>22.8000000000029</v>
      </c>
      <c r="J408">
        <v>45.600000000005799</v>
      </c>
      <c r="K408">
        <v>45.600000000005799</v>
      </c>
      <c r="L408">
        <f>SUM($K$2:K408)</f>
        <v>1667.3500000000065</v>
      </c>
      <c r="M408">
        <f>MAX($L$2:L408)</f>
        <v>1667.3500000000065</v>
      </c>
      <c r="N408">
        <f t="shared" si="6"/>
        <v>0</v>
      </c>
    </row>
    <row r="409" spans="1:14" x14ac:dyDescent="0.35">
      <c r="A409" t="s">
        <v>785</v>
      </c>
      <c r="B409" t="s">
        <v>786</v>
      </c>
      <c r="C409" t="s">
        <v>13</v>
      </c>
      <c r="D409">
        <v>24646.15</v>
      </c>
      <c r="E409">
        <v>24627.85</v>
      </c>
      <c r="F409">
        <v>24682.75</v>
      </c>
      <c r="G409">
        <v>24627.85</v>
      </c>
      <c r="H409" t="s">
        <v>16</v>
      </c>
      <c r="I409">
        <v>18.3000000000029</v>
      </c>
      <c r="J409">
        <v>36.600000000005799</v>
      </c>
      <c r="K409">
        <v>-18.3000000000029</v>
      </c>
      <c r="L409">
        <f>SUM($K$2:K409)</f>
        <v>1649.0500000000036</v>
      </c>
      <c r="M409">
        <f>MAX($L$2:L409)</f>
        <v>1667.3500000000065</v>
      </c>
      <c r="N409">
        <f t="shared" si="6"/>
        <v>18.30000000000291</v>
      </c>
    </row>
    <row r="410" spans="1:14" x14ac:dyDescent="0.35">
      <c r="A410" t="s">
        <v>787</v>
      </c>
      <c r="B410" t="s">
        <v>788</v>
      </c>
      <c r="C410" t="s">
        <v>13</v>
      </c>
      <c r="D410">
        <v>24636.45</v>
      </c>
      <c r="E410">
        <v>24618.45</v>
      </c>
      <c r="F410">
        <v>24672.45</v>
      </c>
      <c r="G410">
        <v>24618.45</v>
      </c>
      <c r="H410" t="s">
        <v>16</v>
      </c>
      <c r="I410">
        <v>18</v>
      </c>
      <c r="J410">
        <v>36</v>
      </c>
      <c r="K410">
        <v>-18</v>
      </c>
      <c r="L410">
        <f>SUM($K$2:K410)</f>
        <v>1631.0500000000036</v>
      </c>
      <c r="M410">
        <f>MAX($L$2:L410)</f>
        <v>1667.3500000000065</v>
      </c>
      <c r="N410">
        <f t="shared" si="6"/>
        <v>36.30000000000291</v>
      </c>
    </row>
    <row r="411" spans="1:14" x14ac:dyDescent="0.35">
      <c r="A411" t="s">
        <v>789</v>
      </c>
      <c r="B411" t="s">
        <v>790</v>
      </c>
      <c r="C411" t="s">
        <v>32</v>
      </c>
      <c r="D411">
        <v>24618.75</v>
      </c>
      <c r="E411">
        <v>24634.3</v>
      </c>
      <c r="F411">
        <v>24587.65</v>
      </c>
      <c r="G411">
        <v>24634.3</v>
      </c>
      <c r="H411" t="s">
        <v>16</v>
      </c>
      <c r="I411">
        <v>15.5499999999992</v>
      </c>
      <c r="J411">
        <v>31.099999999998499</v>
      </c>
      <c r="K411">
        <v>-15.5499999999992</v>
      </c>
      <c r="L411">
        <f>SUM($K$2:K411)</f>
        <v>1615.5000000000043</v>
      </c>
      <c r="M411">
        <f>MAX($L$2:L411)</f>
        <v>1667.3500000000065</v>
      </c>
      <c r="N411">
        <f t="shared" si="6"/>
        <v>51.850000000002183</v>
      </c>
    </row>
    <row r="412" spans="1:14" x14ac:dyDescent="0.35">
      <c r="A412" t="s">
        <v>791</v>
      </c>
      <c r="B412" t="s">
        <v>792</v>
      </c>
      <c r="C412" t="s">
        <v>32</v>
      </c>
      <c r="D412">
        <v>24625.8</v>
      </c>
      <c r="E412">
        <v>24644.7</v>
      </c>
      <c r="F412">
        <v>24587.999999999902</v>
      </c>
      <c r="G412">
        <v>24644.7</v>
      </c>
      <c r="H412" t="s">
        <v>16</v>
      </c>
      <c r="I412">
        <v>18.900000000001398</v>
      </c>
      <c r="J412">
        <v>37.800000000002903</v>
      </c>
      <c r="K412">
        <v>-18.900000000001398</v>
      </c>
      <c r="L412">
        <f>SUM($K$2:K412)</f>
        <v>1596.6000000000029</v>
      </c>
      <c r="M412">
        <f>MAX($L$2:L412)</f>
        <v>1667.3500000000065</v>
      </c>
      <c r="N412">
        <f t="shared" si="6"/>
        <v>70.750000000003638</v>
      </c>
    </row>
    <row r="413" spans="1:14" x14ac:dyDescent="0.35">
      <c r="A413" t="s">
        <v>793</v>
      </c>
      <c r="B413" t="s">
        <v>794</v>
      </c>
      <c r="C413" t="s">
        <v>13</v>
      </c>
      <c r="D413">
        <v>24652.35</v>
      </c>
      <c r="E413">
        <v>24634.35</v>
      </c>
      <c r="F413">
        <v>24688.35</v>
      </c>
      <c r="G413">
        <v>24634.35</v>
      </c>
      <c r="H413" t="s">
        <v>16</v>
      </c>
      <c r="I413">
        <v>18</v>
      </c>
      <c r="J413">
        <v>36</v>
      </c>
      <c r="K413">
        <v>-18</v>
      </c>
      <c r="L413">
        <f>SUM($K$2:K413)</f>
        <v>1578.6000000000029</v>
      </c>
      <c r="M413">
        <f>MAX($L$2:L413)</f>
        <v>1667.3500000000065</v>
      </c>
      <c r="N413">
        <f t="shared" si="6"/>
        <v>88.750000000003638</v>
      </c>
    </row>
    <row r="414" spans="1:14" x14ac:dyDescent="0.35">
      <c r="A414" t="s">
        <v>795</v>
      </c>
      <c r="B414" t="s">
        <v>796</v>
      </c>
      <c r="C414" t="s">
        <v>32</v>
      </c>
      <c r="D414">
        <v>24595.85</v>
      </c>
      <c r="E414">
        <v>24641.5</v>
      </c>
      <c r="F414">
        <v>24504.549999999901</v>
      </c>
      <c r="G414">
        <v>24641.5</v>
      </c>
      <c r="H414" t="s">
        <v>16</v>
      </c>
      <c r="I414">
        <v>45.650000000001398</v>
      </c>
      <c r="J414">
        <v>91.300000000002896</v>
      </c>
      <c r="K414">
        <v>-45.650000000001398</v>
      </c>
      <c r="L414">
        <f>SUM($K$2:K414)</f>
        <v>1532.9500000000014</v>
      </c>
      <c r="M414">
        <f>MAX($L$2:L414)</f>
        <v>1667.3500000000065</v>
      </c>
      <c r="N414">
        <f t="shared" si="6"/>
        <v>134.40000000000509</v>
      </c>
    </row>
    <row r="415" spans="1:14" x14ac:dyDescent="0.35">
      <c r="A415" t="s">
        <v>797</v>
      </c>
      <c r="B415" t="s">
        <v>798</v>
      </c>
      <c r="C415" t="s">
        <v>32</v>
      </c>
      <c r="D415">
        <v>24450.15</v>
      </c>
      <c r="E415">
        <v>24484.1</v>
      </c>
      <c r="F415">
        <v>24382.25</v>
      </c>
      <c r="G415">
        <v>24382.25</v>
      </c>
      <c r="H415" t="s">
        <v>14</v>
      </c>
      <c r="I415">
        <v>33.949999999996997</v>
      </c>
      <c r="J415">
        <v>67.899999999994094</v>
      </c>
      <c r="K415">
        <v>67.899999999994094</v>
      </c>
      <c r="L415">
        <f>SUM($K$2:K415)</f>
        <v>1600.8499999999956</v>
      </c>
      <c r="M415">
        <f>MAX($L$2:L415)</f>
        <v>1667.3500000000065</v>
      </c>
      <c r="N415">
        <f t="shared" si="6"/>
        <v>66.500000000010914</v>
      </c>
    </row>
    <row r="416" spans="1:14" x14ac:dyDescent="0.35">
      <c r="A416" t="s">
        <v>799</v>
      </c>
      <c r="B416" t="s">
        <v>800</v>
      </c>
      <c r="C416" t="s">
        <v>32</v>
      </c>
      <c r="D416">
        <v>24362.35</v>
      </c>
      <c r="E416">
        <v>24404.65</v>
      </c>
      <c r="F416">
        <v>24277.749999999902</v>
      </c>
      <c r="G416">
        <v>24404.65</v>
      </c>
      <c r="H416" t="s">
        <v>16</v>
      </c>
      <c r="I416">
        <v>42.300000000002903</v>
      </c>
      <c r="J416">
        <v>84.600000000005807</v>
      </c>
      <c r="K416">
        <v>-42.300000000002903</v>
      </c>
      <c r="L416">
        <f>SUM($K$2:K416)</f>
        <v>1558.5499999999927</v>
      </c>
      <c r="M416">
        <f>MAX($L$2:L416)</f>
        <v>1667.3500000000065</v>
      </c>
      <c r="N416">
        <f t="shared" si="6"/>
        <v>108.80000000001382</v>
      </c>
    </row>
    <row r="417" spans="1:14" x14ac:dyDescent="0.35">
      <c r="A417" t="s">
        <v>801</v>
      </c>
      <c r="B417" t="s">
        <v>802</v>
      </c>
      <c r="C417" t="s">
        <v>32</v>
      </c>
      <c r="D417">
        <v>24444.3</v>
      </c>
      <c r="E417">
        <v>24468.6</v>
      </c>
      <c r="F417">
        <v>24395.7</v>
      </c>
      <c r="G417">
        <v>24468.6</v>
      </c>
      <c r="H417" t="s">
        <v>16</v>
      </c>
      <c r="I417">
        <v>24.299999999999201</v>
      </c>
      <c r="J417">
        <v>48.599999999998502</v>
      </c>
      <c r="K417">
        <v>-24.299999999999201</v>
      </c>
      <c r="L417">
        <f>SUM($K$2:K417)</f>
        <v>1534.2499999999934</v>
      </c>
      <c r="M417">
        <f>MAX($L$2:L417)</f>
        <v>1667.3500000000065</v>
      </c>
      <c r="N417">
        <f t="shared" si="6"/>
        <v>133.1000000000131</v>
      </c>
    </row>
    <row r="418" spans="1:14" x14ac:dyDescent="0.35">
      <c r="A418" t="s">
        <v>803</v>
      </c>
      <c r="B418" t="s">
        <v>804</v>
      </c>
      <c r="C418" t="s">
        <v>32</v>
      </c>
      <c r="D418">
        <v>24425.599999999999</v>
      </c>
      <c r="E418">
        <v>24440.35</v>
      </c>
      <c r="F418">
        <v>24396.1</v>
      </c>
      <c r="G418">
        <v>24440.35</v>
      </c>
      <c r="H418" t="s">
        <v>16</v>
      </c>
      <c r="I418">
        <v>14.75</v>
      </c>
      <c r="J418">
        <v>29.5</v>
      </c>
      <c r="K418">
        <v>-14.75</v>
      </c>
      <c r="L418">
        <f>SUM($K$2:K418)</f>
        <v>1519.4999999999934</v>
      </c>
      <c r="M418">
        <f>MAX($L$2:L418)</f>
        <v>1667.3500000000065</v>
      </c>
      <c r="N418">
        <f t="shared" si="6"/>
        <v>147.8500000000131</v>
      </c>
    </row>
    <row r="419" spans="1:14" x14ac:dyDescent="0.35">
      <c r="A419" t="s">
        <v>805</v>
      </c>
      <c r="B419" t="s">
        <v>806</v>
      </c>
      <c r="C419" t="s">
        <v>32</v>
      </c>
      <c r="D419">
        <v>24401.45</v>
      </c>
      <c r="E419">
        <v>24428.400000000001</v>
      </c>
      <c r="F419">
        <v>24347.55</v>
      </c>
      <c r="G419">
        <v>24428.400000000001</v>
      </c>
      <c r="H419" t="s">
        <v>16</v>
      </c>
      <c r="I419">
        <v>26.950000000000699</v>
      </c>
      <c r="J419">
        <v>53.900000000001398</v>
      </c>
      <c r="K419">
        <v>-26.950000000000699</v>
      </c>
      <c r="L419">
        <f>SUM($K$2:K419)</f>
        <v>1492.5499999999927</v>
      </c>
      <c r="M419">
        <f>MAX($L$2:L419)</f>
        <v>1667.3500000000065</v>
      </c>
      <c r="N419">
        <f t="shared" si="6"/>
        <v>174.80000000001382</v>
      </c>
    </row>
    <row r="420" spans="1:14" x14ac:dyDescent="0.35">
      <c r="A420" t="s">
        <v>806</v>
      </c>
      <c r="B420" t="s">
        <v>807</v>
      </c>
      <c r="C420" t="s">
        <v>13</v>
      </c>
      <c r="D420">
        <v>24433.7</v>
      </c>
      <c r="E420">
        <v>24406.25</v>
      </c>
      <c r="F420">
        <v>24488.6</v>
      </c>
      <c r="G420">
        <v>24406.25</v>
      </c>
      <c r="H420" t="s">
        <v>16</v>
      </c>
      <c r="I420">
        <v>27.450000000000699</v>
      </c>
      <c r="J420">
        <v>54.900000000001398</v>
      </c>
      <c r="K420">
        <v>-27.450000000000699</v>
      </c>
      <c r="L420">
        <f>SUM($K$2:K420)</f>
        <v>1465.099999999992</v>
      </c>
      <c r="M420">
        <f>MAX($L$2:L420)</f>
        <v>1667.3500000000065</v>
      </c>
      <c r="N420">
        <f t="shared" si="6"/>
        <v>202.25000000001455</v>
      </c>
    </row>
    <row r="421" spans="1:14" x14ac:dyDescent="0.35">
      <c r="A421" t="s">
        <v>808</v>
      </c>
      <c r="B421" t="s">
        <v>809</v>
      </c>
      <c r="C421" t="s">
        <v>13</v>
      </c>
      <c r="D421">
        <v>24574</v>
      </c>
      <c r="E421">
        <v>24530.75</v>
      </c>
      <c r="F421">
        <v>24660.5</v>
      </c>
      <c r="G421">
        <v>24660.5</v>
      </c>
      <c r="H421" t="s">
        <v>14</v>
      </c>
      <c r="I421">
        <v>43.25</v>
      </c>
      <c r="J421">
        <v>86.5</v>
      </c>
      <c r="K421">
        <v>86.5</v>
      </c>
      <c r="L421">
        <f>SUM($K$2:K421)</f>
        <v>1551.599999999992</v>
      </c>
      <c r="M421">
        <f>MAX($L$2:L421)</f>
        <v>1667.3500000000065</v>
      </c>
      <c r="N421">
        <f t="shared" si="6"/>
        <v>115.75000000001455</v>
      </c>
    </row>
    <row r="422" spans="1:14" x14ac:dyDescent="0.35">
      <c r="A422" t="s">
        <v>810</v>
      </c>
      <c r="B422" t="s">
        <v>811</v>
      </c>
      <c r="C422" t="s">
        <v>32</v>
      </c>
      <c r="D422">
        <v>24556.7</v>
      </c>
      <c r="E422">
        <v>24575.200000000001</v>
      </c>
      <c r="F422">
        <v>24519.7</v>
      </c>
      <c r="G422">
        <v>24575.200000000001</v>
      </c>
      <c r="H422" t="s">
        <v>16</v>
      </c>
      <c r="I422">
        <v>18.5</v>
      </c>
      <c r="J422">
        <v>37</v>
      </c>
      <c r="K422">
        <v>-18.5</v>
      </c>
      <c r="L422">
        <f>SUM($K$2:K422)</f>
        <v>1533.099999999992</v>
      </c>
      <c r="M422">
        <f>MAX($L$2:L422)</f>
        <v>1667.3500000000065</v>
      </c>
      <c r="N422">
        <f t="shared" si="6"/>
        <v>134.25000000001455</v>
      </c>
    </row>
    <row r="423" spans="1:14" x14ac:dyDescent="0.35">
      <c r="A423" t="s">
        <v>812</v>
      </c>
      <c r="B423" t="s">
        <v>813</v>
      </c>
      <c r="C423" t="s">
        <v>13</v>
      </c>
      <c r="D423">
        <v>24614.1</v>
      </c>
      <c r="E423">
        <v>24592.2</v>
      </c>
      <c r="F423">
        <v>24657.8999999999</v>
      </c>
      <c r="G423">
        <v>24592.2</v>
      </c>
      <c r="H423" t="s">
        <v>16</v>
      </c>
      <c r="I423">
        <v>21.899999999997799</v>
      </c>
      <c r="J423">
        <v>43.799999999995599</v>
      </c>
      <c r="K423">
        <v>-21.899999999997799</v>
      </c>
      <c r="L423">
        <f>SUM($K$2:K423)</f>
        <v>1511.1999999999941</v>
      </c>
      <c r="M423">
        <f>MAX($L$2:L423)</f>
        <v>1667.3500000000065</v>
      </c>
      <c r="N423">
        <f t="shared" si="6"/>
        <v>156.15000000001237</v>
      </c>
    </row>
    <row r="424" spans="1:14" x14ac:dyDescent="0.35">
      <c r="A424" t="s">
        <v>814</v>
      </c>
      <c r="B424" t="s">
        <v>815</v>
      </c>
      <c r="C424" t="s">
        <v>13</v>
      </c>
      <c r="D424">
        <v>24592</v>
      </c>
      <c r="E424">
        <v>24571.65</v>
      </c>
      <c r="F424">
        <v>24632.699999999899</v>
      </c>
      <c r="G424">
        <v>24571.65</v>
      </c>
      <c r="H424" t="s">
        <v>16</v>
      </c>
      <c r="I424">
        <v>20.349999999998499</v>
      </c>
      <c r="J424">
        <v>40.699999999996997</v>
      </c>
      <c r="K424">
        <v>-20.349999999998499</v>
      </c>
      <c r="L424">
        <f>SUM($K$2:K424)</f>
        <v>1490.8499999999956</v>
      </c>
      <c r="M424">
        <f>MAX($L$2:L424)</f>
        <v>1667.3500000000065</v>
      </c>
      <c r="N424">
        <f t="shared" si="6"/>
        <v>176.50000000001091</v>
      </c>
    </row>
    <row r="425" spans="1:14" x14ac:dyDescent="0.35">
      <c r="A425" t="s">
        <v>816</v>
      </c>
      <c r="B425" t="s">
        <v>817</v>
      </c>
      <c r="C425" t="s">
        <v>13</v>
      </c>
      <c r="D425">
        <v>24614.400000000001</v>
      </c>
      <c r="E425">
        <v>24593.9</v>
      </c>
      <c r="F425">
        <v>24655.4</v>
      </c>
      <c r="G425">
        <v>24655.4</v>
      </c>
      <c r="H425" t="s">
        <v>14</v>
      </c>
      <c r="I425">
        <v>20.5</v>
      </c>
      <c r="J425">
        <v>41</v>
      </c>
      <c r="K425">
        <v>41</v>
      </c>
      <c r="L425">
        <f>SUM($K$2:K425)</f>
        <v>1531.8499999999956</v>
      </c>
      <c r="M425">
        <f>MAX($L$2:L425)</f>
        <v>1667.3500000000065</v>
      </c>
      <c r="N425">
        <f t="shared" si="6"/>
        <v>135.50000000001091</v>
      </c>
    </row>
    <row r="426" spans="1:14" x14ac:dyDescent="0.35">
      <c r="A426" t="s">
        <v>818</v>
      </c>
      <c r="B426" t="s">
        <v>819</v>
      </c>
      <c r="C426" t="s">
        <v>13</v>
      </c>
      <c r="D426">
        <v>24656.5</v>
      </c>
      <c r="E426">
        <v>24635.55</v>
      </c>
      <c r="F426">
        <v>24698.400000000001</v>
      </c>
      <c r="G426">
        <v>24635.55</v>
      </c>
      <c r="H426" t="s">
        <v>16</v>
      </c>
      <c r="I426">
        <v>20.950000000000699</v>
      </c>
      <c r="J426">
        <v>41.900000000001398</v>
      </c>
      <c r="K426">
        <v>-20.950000000000699</v>
      </c>
      <c r="L426">
        <f>SUM($K$2:K426)</f>
        <v>1510.8999999999949</v>
      </c>
      <c r="M426">
        <f>MAX($L$2:L426)</f>
        <v>1667.3500000000065</v>
      </c>
      <c r="N426">
        <f t="shared" si="6"/>
        <v>156.45000000001164</v>
      </c>
    </row>
    <row r="427" spans="1:14" x14ac:dyDescent="0.35">
      <c r="A427" t="s">
        <v>820</v>
      </c>
      <c r="B427" t="s">
        <v>821</v>
      </c>
      <c r="C427" t="s">
        <v>13</v>
      </c>
      <c r="D427">
        <v>24659.8</v>
      </c>
      <c r="E427">
        <v>24645.75</v>
      </c>
      <c r="F427">
        <v>24687.8999999999</v>
      </c>
      <c r="G427">
        <v>24645.75</v>
      </c>
      <c r="H427" t="s">
        <v>16</v>
      </c>
      <c r="I427">
        <v>14.0499999999992</v>
      </c>
      <c r="J427">
        <v>28.099999999998499</v>
      </c>
      <c r="K427">
        <v>-14.0499999999992</v>
      </c>
      <c r="L427">
        <f>SUM($K$2:K427)</f>
        <v>1496.8499999999956</v>
      </c>
      <c r="M427">
        <f>MAX($L$2:L427)</f>
        <v>1667.3500000000065</v>
      </c>
      <c r="N427">
        <f t="shared" si="6"/>
        <v>170.50000000001091</v>
      </c>
    </row>
    <row r="428" spans="1:14" x14ac:dyDescent="0.35">
      <c r="A428" t="s">
        <v>822</v>
      </c>
      <c r="B428" t="s">
        <v>823</v>
      </c>
      <c r="C428" t="s">
        <v>13</v>
      </c>
      <c r="D428">
        <v>24922.6</v>
      </c>
      <c r="E428">
        <v>24902.85</v>
      </c>
      <c r="F428">
        <v>24962.1</v>
      </c>
      <c r="G428">
        <v>24902.85</v>
      </c>
      <c r="H428" t="s">
        <v>16</v>
      </c>
      <c r="I428">
        <v>19.75</v>
      </c>
      <c r="J428">
        <v>39.5</v>
      </c>
      <c r="K428">
        <v>-19.75</v>
      </c>
      <c r="L428">
        <f>SUM($K$2:K428)</f>
        <v>1477.0999999999956</v>
      </c>
      <c r="M428">
        <f>MAX($L$2:L428)</f>
        <v>1667.3500000000065</v>
      </c>
      <c r="N428">
        <f t="shared" si="6"/>
        <v>190.25000000001091</v>
      </c>
    </row>
    <row r="429" spans="1:14" x14ac:dyDescent="0.35">
      <c r="A429" t="s">
        <v>824</v>
      </c>
      <c r="B429" t="s">
        <v>825</v>
      </c>
      <c r="C429" t="s">
        <v>13</v>
      </c>
      <c r="D429">
        <v>24922.95</v>
      </c>
      <c r="E429">
        <v>24909.200000000001</v>
      </c>
      <c r="F429">
        <v>24950.45</v>
      </c>
      <c r="G429">
        <v>24909.200000000001</v>
      </c>
      <c r="H429" t="s">
        <v>16</v>
      </c>
      <c r="I429">
        <v>13.75</v>
      </c>
      <c r="J429">
        <v>27.5</v>
      </c>
      <c r="K429">
        <v>-13.75</v>
      </c>
      <c r="L429">
        <f>SUM($K$2:K429)</f>
        <v>1463.3499999999956</v>
      </c>
      <c r="M429">
        <f>MAX($L$2:L429)</f>
        <v>1667.3500000000065</v>
      </c>
      <c r="N429">
        <f t="shared" si="6"/>
        <v>204.00000000001091</v>
      </c>
    </row>
    <row r="430" spans="1:14" x14ac:dyDescent="0.35">
      <c r="A430" t="s">
        <v>826</v>
      </c>
      <c r="B430" t="s">
        <v>827</v>
      </c>
      <c r="C430" t="s">
        <v>13</v>
      </c>
      <c r="D430">
        <v>24989.95</v>
      </c>
      <c r="E430">
        <v>24973.7</v>
      </c>
      <c r="F430">
        <v>25022.45</v>
      </c>
      <c r="G430">
        <v>25022.45</v>
      </c>
      <c r="H430" t="s">
        <v>14</v>
      </c>
      <c r="I430">
        <v>16.25</v>
      </c>
      <c r="J430">
        <v>32.5</v>
      </c>
      <c r="K430">
        <v>32.5</v>
      </c>
      <c r="L430">
        <f>SUM($K$2:K430)</f>
        <v>1495.8499999999956</v>
      </c>
      <c r="M430">
        <f>MAX($L$2:L430)</f>
        <v>1667.3500000000065</v>
      </c>
      <c r="N430">
        <f t="shared" si="6"/>
        <v>171.50000000001091</v>
      </c>
    </row>
    <row r="431" spans="1:14" x14ac:dyDescent="0.35">
      <c r="A431" t="s">
        <v>827</v>
      </c>
      <c r="B431" t="s">
        <v>828</v>
      </c>
      <c r="C431" t="s">
        <v>13</v>
      </c>
      <c r="D431">
        <v>25028.05</v>
      </c>
      <c r="E431">
        <v>25009</v>
      </c>
      <c r="F431">
        <v>25066.1499999999</v>
      </c>
      <c r="G431">
        <v>25009</v>
      </c>
      <c r="H431" t="s">
        <v>16</v>
      </c>
      <c r="I431">
        <v>19.049999999999201</v>
      </c>
      <c r="J431">
        <v>38.099999999998502</v>
      </c>
      <c r="K431">
        <v>-19.049999999999201</v>
      </c>
      <c r="L431">
        <f>SUM($K$2:K431)</f>
        <v>1476.7999999999963</v>
      </c>
      <c r="M431">
        <f>MAX($L$2:L431)</f>
        <v>1667.3500000000065</v>
      </c>
      <c r="N431">
        <f t="shared" si="6"/>
        <v>190.55000000001019</v>
      </c>
    </row>
    <row r="432" spans="1:14" x14ac:dyDescent="0.35">
      <c r="A432" t="s">
        <v>828</v>
      </c>
      <c r="B432" t="s">
        <v>829</v>
      </c>
      <c r="C432" t="s">
        <v>13</v>
      </c>
      <c r="D432">
        <v>25022.6</v>
      </c>
      <c r="E432">
        <v>25008.7</v>
      </c>
      <c r="F432">
        <v>25050.3999999999</v>
      </c>
      <c r="G432">
        <v>25050.3999999999</v>
      </c>
      <c r="H432" t="s">
        <v>14</v>
      </c>
      <c r="I432">
        <v>13.899999999997799</v>
      </c>
      <c r="J432">
        <v>27.799999999995599</v>
      </c>
      <c r="K432">
        <v>27.799999999995599</v>
      </c>
      <c r="L432">
        <f>SUM($K$2:K432)</f>
        <v>1504.599999999992</v>
      </c>
      <c r="M432">
        <f>MAX($L$2:L432)</f>
        <v>1667.3500000000065</v>
      </c>
      <c r="N432">
        <f t="shared" si="6"/>
        <v>162.75000000001455</v>
      </c>
    </row>
    <row r="433" spans="1:14" x14ac:dyDescent="0.35">
      <c r="A433" t="s">
        <v>830</v>
      </c>
      <c r="B433" t="s">
        <v>831</v>
      </c>
      <c r="C433" t="s">
        <v>13</v>
      </c>
      <c r="D433">
        <v>25065.75</v>
      </c>
      <c r="E433">
        <v>25044.65</v>
      </c>
      <c r="F433">
        <v>25107.949999999899</v>
      </c>
      <c r="G433">
        <v>25044.65</v>
      </c>
      <c r="H433" t="s">
        <v>16</v>
      </c>
      <c r="I433">
        <v>21.099999999998499</v>
      </c>
      <c r="J433">
        <v>42.199999999996997</v>
      </c>
      <c r="K433">
        <v>-21.099999999998499</v>
      </c>
      <c r="L433">
        <f>SUM($K$2:K433)</f>
        <v>1483.4999999999934</v>
      </c>
      <c r="M433">
        <f>MAX($L$2:L433)</f>
        <v>1667.3500000000065</v>
      </c>
      <c r="N433">
        <f t="shared" si="6"/>
        <v>183.8500000000131</v>
      </c>
    </row>
    <row r="434" spans="1:14" x14ac:dyDescent="0.35">
      <c r="A434" t="s">
        <v>832</v>
      </c>
      <c r="B434" t="s">
        <v>833</v>
      </c>
      <c r="C434" t="s">
        <v>13</v>
      </c>
      <c r="D434">
        <v>25092.65</v>
      </c>
      <c r="E434">
        <v>25058.5</v>
      </c>
      <c r="F434">
        <v>25160.95</v>
      </c>
      <c r="G434">
        <v>25076.95</v>
      </c>
      <c r="H434" t="s">
        <v>23</v>
      </c>
      <c r="I434">
        <v>34.150000000001398</v>
      </c>
      <c r="J434">
        <v>68.300000000002896</v>
      </c>
      <c r="K434">
        <v>-15.700000000000699</v>
      </c>
      <c r="L434">
        <f>SUM($K$2:K434)</f>
        <v>1467.7999999999927</v>
      </c>
      <c r="M434">
        <f>MAX($L$2:L434)</f>
        <v>1667.3500000000065</v>
      </c>
      <c r="N434">
        <f t="shared" si="6"/>
        <v>199.55000000001382</v>
      </c>
    </row>
    <row r="435" spans="1:14" x14ac:dyDescent="0.35">
      <c r="A435" t="s">
        <v>834</v>
      </c>
      <c r="B435" t="s">
        <v>835</v>
      </c>
      <c r="C435" t="s">
        <v>32</v>
      </c>
      <c r="D435">
        <v>25022.5</v>
      </c>
      <c r="E435">
        <v>25084.85</v>
      </c>
      <c r="F435">
        <v>24897.8</v>
      </c>
      <c r="G435">
        <v>24897.8</v>
      </c>
      <c r="H435" t="s">
        <v>14</v>
      </c>
      <c r="I435">
        <v>62.349999999998502</v>
      </c>
      <c r="J435">
        <v>124.699999999997</v>
      </c>
      <c r="K435">
        <v>124.699999999997</v>
      </c>
      <c r="L435">
        <f>SUM($K$2:K435)</f>
        <v>1592.4999999999898</v>
      </c>
      <c r="M435">
        <f>MAX($L$2:L435)</f>
        <v>1667.3500000000065</v>
      </c>
      <c r="N435">
        <f t="shared" si="6"/>
        <v>74.850000000016735</v>
      </c>
    </row>
    <row r="436" spans="1:14" x14ac:dyDescent="0.35">
      <c r="A436" t="s">
        <v>836</v>
      </c>
      <c r="B436" t="s">
        <v>837</v>
      </c>
      <c r="C436" t="s">
        <v>32</v>
      </c>
      <c r="D436">
        <v>24909.05</v>
      </c>
      <c r="E436">
        <v>24923.65</v>
      </c>
      <c r="F436">
        <v>24879.8499999999</v>
      </c>
      <c r="G436">
        <v>24923.65</v>
      </c>
      <c r="H436" t="s">
        <v>16</v>
      </c>
      <c r="I436">
        <v>14.600000000002099</v>
      </c>
      <c r="J436">
        <v>29.200000000004302</v>
      </c>
      <c r="K436">
        <v>-14.600000000002099</v>
      </c>
      <c r="L436">
        <f>SUM($K$2:K436)</f>
        <v>1577.8999999999876</v>
      </c>
      <c r="M436">
        <f>MAX($L$2:L436)</f>
        <v>1667.3500000000065</v>
      </c>
      <c r="N436">
        <f t="shared" si="6"/>
        <v>89.450000000018917</v>
      </c>
    </row>
    <row r="437" spans="1:14" x14ac:dyDescent="0.35">
      <c r="A437" t="s">
        <v>838</v>
      </c>
      <c r="B437" t="s">
        <v>839</v>
      </c>
      <c r="C437" t="s">
        <v>32</v>
      </c>
      <c r="D437">
        <v>24908</v>
      </c>
      <c r="E437">
        <v>24922.5</v>
      </c>
      <c r="F437">
        <v>24879</v>
      </c>
      <c r="G437">
        <v>24879</v>
      </c>
      <c r="H437" t="s">
        <v>14</v>
      </c>
      <c r="I437">
        <v>14.5</v>
      </c>
      <c r="J437">
        <v>29</v>
      </c>
      <c r="K437">
        <v>29</v>
      </c>
      <c r="L437">
        <f>SUM($K$2:K437)</f>
        <v>1606.8999999999876</v>
      </c>
      <c r="M437">
        <f>MAX($L$2:L437)</f>
        <v>1667.3500000000065</v>
      </c>
      <c r="N437">
        <f t="shared" si="6"/>
        <v>60.450000000018917</v>
      </c>
    </row>
    <row r="438" spans="1:14" x14ac:dyDescent="0.35">
      <c r="A438" t="s">
        <v>839</v>
      </c>
      <c r="B438" t="s">
        <v>840</v>
      </c>
      <c r="C438" t="s">
        <v>32</v>
      </c>
      <c r="D438">
        <v>24878.45</v>
      </c>
      <c r="E438">
        <v>24906.45</v>
      </c>
      <c r="F438">
        <v>24822.45</v>
      </c>
      <c r="G438">
        <v>24869.45</v>
      </c>
      <c r="H438" t="s">
        <v>23</v>
      </c>
      <c r="I438">
        <v>28</v>
      </c>
      <c r="J438">
        <v>56</v>
      </c>
      <c r="K438">
        <v>9</v>
      </c>
      <c r="L438">
        <f>SUM($K$2:K438)</f>
        <v>1615.8999999999876</v>
      </c>
      <c r="M438">
        <f>MAX($L$2:L438)</f>
        <v>1667.3500000000065</v>
      </c>
      <c r="N438">
        <f t="shared" si="6"/>
        <v>51.450000000018917</v>
      </c>
    </row>
    <row r="439" spans="1:14" x14ac:dyDescent="0.35">
      <c r="A439" t="s">
        <v>841</v>
      </c>
      <c r="B439" t="s">
        <v>842</v>
      </c>
      <c r="C439" t="s">
        <v>13</v>
      </c>
      <c r="D439">
        <v>24964.15</v>
      </c>
      <c r="E439">
        <v>24951.3</v>
      </c>
      <c r="F439">
        <v>24989.85</v>
      </c>
      <c r="G439">
        <v>24989.85</v>
      </c>
      <c r="H439" t="s">
        <v>14</v>
      </c>
      <c r="I439">
        <v>12.850000000002099</v>
      </c>
      <c r="J439">
        <v>25.700000000004302</v>
      </c>
      <c r="K439">
        <v>25.700000000004302</v>
      </c>
      <c r="L439">
        <f>SUM($K$2:K439)</f>
        <v>1641.599999999992</v>
      </c>
      <c r="M439">
        <f>MAX($L$2:L439)</f>
        <v>1667.3500000000065</v>
      </c>
      <c r="N439">
        <f t="shared" si="6"/>
        <v>25.750000000014552</v>
      </c>
    </row>
    <row r="440" spans="1:14" x14ac:dyDescent="0.35">
      <c r="A440" t="s">
        <v>843</v>
      </c>
      <c r="B440" t="s">
        <v>844</v>
      </c>
      <c r="C440" t="s">
        <v>32</v>
      </c>
      <c r="D440">
        <v>24785.85</v>
      </c>
      <c r="E440">
        <v>24802.15</v>
      </c>
      <c r="F440">
        <v>24753.249999999902</v>
      </c>
      <c r="G440">
        <v>24802.15</v>
      </c>
      <c r="H440" t="s">
        <v>16</v>
      </c>
      <c r="I440">
        <v>16.3000000000029</v>
      </c>
      <c r="J440">
        <v>32.600000000005799</v>
      </c>
      <c r="K440">
        <v>-16.3000000000029</v>
      </c>
      <c r="L440">
        <f>SUM($K$2:K440)</f>
        <v>1625.299999999989</v>
      </c>
      <c r="M440">
        <f>MAX($L$2:L440)</f>
        <v>1667.3500000000065</v>
      </c>
      <c r="N440">
        <f t="shared" si="6"/>
        <v>42.050000000017462</v>
      </c>
    </row>
    <row r="441" spans="1:14" x14ac:dyDescent="0.35">
      <c r="A441" t="s">
        <v>845</v>
      </c>
      <c r="B441" t="s">
        <v>846</v>
      </c>
      <c r="C441" t="s">
        <v>32</v>
      </c>
      <c r="D441">
        <v>24776</v>
      </c>
      <c r="E441">
        <v>24791.3</v>
      </c>
      <c r="F441">
        <v>24745.4</v>
      </c>
      <c r="G441">
        <v>24745.4</v>
      </c>
      <c r="H441" t="s">
        <v>14</v>
      </c>
      <c r="I441">
        <v>15.2999999999992</v>
      </c>
      <c r="J441">
        <v>30.599999999998499</v>
      </c>
      <c r="K441">
        <v>30.599999999998499</v>
      </c>
      <c r="L441">
        <f>SUM($K$2:K441)</f>
        <v>1655.8999999999876</v>
      </c>
      <c r="M441">
        <f>MAX($L$2:L441)</f>
        <v>1667.3500000000065</v>
      </c>
      <c r="N441">
        <f t="shared" si="6"/>
        <v>11.450000000018917</v>
      </c>
    </row>
    <row r="442" spans="1:14" x14ac:dyDescent="0.35">
      <c r="A442" t="s">
        <v>847</v>
      </c>
      <c r="B442" t="s">
        <v>848</v>
      </c>
      <c r="C442" t="s">
        <v>32</v>
      </c>
      <c r="D442">
        <v>24589.5</v>
      </c>
      <c r="E442">
        <v>24613.85</v>
      </c>
      <c r="F442">
        <v>24540.799999999999</v>
      </c>
      <c r="G442">
        <v>24613.85</v>
      </c>
      <c r="H442" t="s">
        <v>16</v>
      </c>
      <c r="I442">
        <v>24.349999999998499</v>
      </c>
      <c r="J442">
        <v>48.699999999996997</v>
      </c>
      <c r="K442">
        <v>-24.349999999998499</v>
      </c>
      <c r="L442">
        <f>SUM($K$2:K442)</f>
        <v>1631.549999999989</v>
      </c>
      <c r="M442">
        <f>MAX($L$2:L442)</f>
        <v>1667.3500000000065</v>
      </c>
      <c r="N442">
        <f t="shared" si="6"/>
        <v>35.800000000017462</v>
      </c>
    </row>
    <row r="443" spans="1:14" x14ac:dyDescent="0.35">
      <c r="A443" t="s">
        <v>849</v>
      </c>
      <c r="B443" t="s">
        <v>850</v>
      </c>
      <c r="C443" t="s">
        <v>13</v>
      </c>
      <c r="D443">
        <v>24667.1</v>
      </c>
      <c r="E443">
        <v>24646.45</v>
      </c>
      <c r="F443">
        <v>24708.3999999999</v>
      </c>
      <c r="G443">
        <v>24646.45</v>
      </c>
      <c r="H443" t="s">
        <v>16</v>
      </c>
      <c r="I443">
        <v>20.649999999997799</v>
      </c>
      <c r="J443">
        <v>41.299999999995599</v>
      </c>
      <c r="K443">
        <v>-20.649999999997799</v>
      </c>
      <c r="L443">
        <f>SUM($K$2:K443)</f>
        <v>1610.8999999999912</v>
      </c>
      <c r="M443">
        <f>MAX($L$2:L443)</f>
        <v>1667.3500000000065</v>
      </c>
      <c r="N443">
        <f t="shared" si="6"/>
        <v>56.45000000001528</v>
      </c>
    </row>
    <row r="444" spans="1:14" x14ac:dyDescent="0.35">
      <c r="A444" t="s">
        <v>851</v>
      </c>
      <c r="B444" t="s">
        <v>852</v>
      </c>
      <c r="C444" t="s">
        <v>32</v>
      </c>
      <c r="D444">
        <v>24483.65</v>
      </c>
      <c r="E444">
        <v>24512.400000000001</v>
      </c>
      <c r="F444">
        <v>24426.15</v>
      </c>
      <c r="G444">
        <v>24512.400000000001</v>
      </c>
      <c r="H444" t="s">
        <v>16</v>
      </c>
      <c r="I444">
        <v>28.75</v>
      </c>
      <c r="J444">
        <v>57.5</v>
      </c>
      <c r="K444">
        <v>-28.75</v>
      </c>
      <c r="L444">
        <f>SUM($K$2:K444)</f>
        <v>1582.1499999999912</v>
      </c>
      <c r="M444">
        <f>MAX($L$2:L444)</f>
        <v>1667.3500000000065</v>
      </c>
      <c r="N444">
        <f t="shared" si="6"/>
        <v>85.20000000001528</v>
      </c>
    </row>
    <row r="445" spans="1:14" x14ac:dyDescent="0.35">
      <c r="A445" t="s">
        <v>853</v>
      </c>
      <c r="B445" t="s">
        <v>854</v>
      </c>
      <c r="C445" t="s">
        <v>13</v>
      </c>
      <c r="D445">
        <v>24550.3</v>
      </c>
      <c r="E445">
        <v>24522.05</v>
      </c>
      <c r="F445">
        <v>24606.799999999999</v>
      </c>
      <c r="G445">
        <v>24522.05</v>
      </c>
      <c r="H445" t="s">
        <v>16</v>
      </c>
      <c r="I445">
        <v>28.25</v>
      </c>
      <c r="J445">
        <v>56.5</v>
      </c>
      <c r="K445">
        <v>-28.25</v>
      </c>
      <c r="L445">
        <f>SUM($K$2:K445)</f>
        <v>1553.8999999999912</v>
      </c>
      <c r="M445">
        <f>MAX($L$2:L445)</f>
        <v>1667.3500000000065</v>
      </c>
      <c r="N445">
        <f t="shared" si="6"/>
        <v>113.45000000001528</v>
      </c>
    </row>
    <row r="446" spans="1:14" x14ac:dyDescent="0.35">
      <c r="A446" t="s">
        <v>855</v>
      </c>
      <c r="B446" t="s">
        <v>856</v>
      </c>
      <c r="C446" t="s">
        <v>13</v>
      </c>
      <c r="D446">
        <v>24571.599999999999</v>
      </c>
      <c r="E446">
        <v>24558.05</v>
      </c>
      <c r="F446">
        <v>24598.699999999899</v>
      </c>
      <c r="G446">
        <v>24558.05</v>
      </c>
      <c r="H446" t="s">
        <v>16</v>
      </c>
      <c r="I446">
        <v>13.5499999999992</v>
      </c>
      <c r="J446">
        <v>27.099999999998499</v>
      </c>
      <c r="K446">
        <v>-13.5499999999992</v>
      </c>
      <c r="L446">
        <f>SUM($K$2:K446)</f>
        <v>1540.349999999992</v>
      </c>
      <c r="M446">
        <f>MAX($L$2:L446)</f>
        <v>1667.3500000000065</v>
      </c>
      <c r="N446">
        <f t="shared" si="6"/>
        <v>127.00000000001455</v>
      </c>
    </row>
    <row r="447" spans="1:14" x14ac:dyDescent="0.35">
      <c r="A447" t="s">
        <v>857</v>
      </c>
      <c r="B447" t="s">
        <v>858</v>
      </c>
      <c r="C447" t="s">
        <v>13</v>
      </c>
      <c r="D447">
        <v>24589.35</v>
      </c>
      <c r="E447">
        <v>24576.95</v>
      </c>
      <c r="F447">
        <v>24614.1499999999</v>
      </c>
      <c r="G447">
        <v>24614.1499999999</v>
      </c>
      <c r="H447" t="s">
        <v>14</v>
      </c>
      <c r="I447">
        <v>12.399999999997799</v>
      </c>
      <c r="J447">
        <v>24.799999999995599</v>
      </c>
      <c r="K447">
        <v>24.799999999995599</v>
      </c>
      <c r="L447">
        <f>SUM($K$2:K447)</f>
        <v>1565.1499999999876</v>
      </c>
      <c r="M447">
        <f>MAX($L$2:L447)</f>
        <v>1667.3500000000065</v>
      </c>
      <c r="N447">
        <f t="shared" si="6"/>
        <v>102.20000000001892</v>
      </c>
    </row>
    <row r="448" spans="1:14" x14ac:dyDescent="0.35">
      <c r="A448" t="s">
        <v>859</v>
      </c>
      <c r="B448" t="s">
        <v>860</v>
      </c>
      <c r="C448" t="s">
        <v>13</v>
      </c>
      <c r="D448">
        <v>24632.25</v>
      </c>
      <c r="E448">
        <v>24616.6</v>
      </c>
      <c r="F448">
        <v>24663.55</v>
      </c>
      <c r="G448">
        <v>24616.6</v>
      </c>
      <c r="H448" t="s">
        <v>16</v>
      </c>
      <c r="I448">
        <v>15.6500000000014</v>
      </c>
      <c r="J448">
        <v>31.3000000000029</v>
      </c>
      <c r="K448">
        <v>-15.6500000000014</v>
      </c>
      <c r="L448">
        <f>SUM($K$2:K448)</f>
        <v>1549.4999999999861</v>
      </c>
      <c r="M448">
        <f>MAX($L$2:L448)</f>
        <v>1667.3500000000065</v>
      </c>
      <c r="N448">
        <f t="shared" si="6"/>
        <v>117.85000000002037</v>
      </c>
    </row>
    <row r="449" spans="1:14" x14ac:dyDescent="0.35">
      <c r="A449" t="s">
        <v>861</v>
      </c>
      <c r="B449" t="s">
        <v>862</v>
      </c>
      <c r="C449" t="s">
        <v>13</v>
      </c>
      <c r="D449">
        <v>24653.55</v>
      </c>
      <c r="E449">
        <v>24631.35</v>
      </c>
      <c r="F449">
        <v>24697.95</v>
      </c>
      <c r="G449">
        <v>24697.95</v>
      </c>
      <c r="H449" t="s">
        <v>14</v>
      </c>
      <c r="I449">
        <v>22.200000000000699</v>
      </c>
      <c r="J449">
        <v>44.400000000001398</v>
      </c>
      <c r="K449">
        <v>44.400000000001398</v>
      </c>
      <c r="L449">
        <f>SUM($K$2:K449)</f>
        <v>1593.8999999999876</v>
      </c>
      <c r="M449">
        <f>MAX($L$2:L449)</f>
        <v>1667.3500000000065</v>
      </c>
      <c r="N449">
        <f t="shared" si="6"/>
        <v>73.450000000018917</v>
      </c>
    </row>
    <row r="450" spans="1:14" x14ac:dyDescent="0.35">
      <c r="A450" t="s">
        <v>863</v>
      </c>
      <c r="B450" t="s">
        <v>864</v>
      </c>
      <c r="C450" t="s">
        <v>13</v>
      </c>
      <c r="D450">
        <v>24736.65</v>
      </c>
      <c r="E450">
        <v>24721.05</v>
      </c>
      <c r="F450">
        <v>24767.85</v>
      </c>
      <c r="G450">
        <v>24721.05</v>
      </c>
      <c r="H450" t="s">
        <v>16</v>
      </c>
      <c r="I450">
        <v>15.600000000002099</v>
      </c>
      <c r="J450">
        <v>31.200000000004302</v>
      </c>
      <c r="K450">
        <v>-15.600000000002099</v>
      </c>
      <c r="L450">
        <f>SUM($K$2:K450)</f>
        <v>1578.2999999999854</v>
      </c>
      <c r="M450">
        <f>MAX($L$2:L450)</f>
        <v>1667.3500000000065</v>
      </c>
      <c r="N450">
        <f t="shared" ref="N450:N513" si="7">M450-L450</f>
        <v>89.0500000000211</v>
      </c>
    </row>
    <row r="451" spans="1:14" x14ac:dyDescent="0.35">
      <c r="A451" t="s">
        <v>865</v>
      </c>
      <c r="B451" t="s">
        <v>866</v>
      </c>
      <c r="C451" t="s">
        <v>32</v>
      </c>
      <c r="D451">
        <v>24655.05</v>
      </c>
      <c r="E451">
        <v>24699.3</v>
      </c>
      <c r="F451">
        <v>24566.55</v>
      </c>
      <c r="G451">
        <v>24566.55</v>
      </c>
      <c r="H451" t="s">
        <v>14</v>
      </c>
      <c r="I451">
        <v>44.25</v>
      </c>
      <c r="J451">
        <v>88.5</v>
      </c>
      <c r="K451">
        <v>88.5</v>
      </c>
      <c r="L451">
        <f>SUM($K$2:K451)</f>
        <v>1666.7999999999854</v>
      </c>
      <c r="M451">
        <f>MAX($L$2:L451)</f>
        <v>1667.3500000000065</v>
      </c>
      <c r="N451">
        <f t="shared" si="7"/>
        <v>0.55000000002110028</v>
      </c>
    </row>
    <row r="452" spans="1:14" x14ac:dyDescent="0.35">
      <c r="A452" t="s">
        <v>867</v>
      </c>
      <c r="B452" t="s">
        <v>868</v>
      </c>
      <c r="C452" t="s">
        <v>32</v>
      </c>
      <c r="D452">
        <v>24563.35</v>
      </c>
      <c r="E452">
        <v>24599.35</v>
      </c>
      <c r="F452">
        <v>24491.35</v>
      </c>
      <c r="G452">
        <v>24575</v>
      </c>
      <c r="H452" t="s">
        <v>23</v>
      </c>
      <c r="I452">
        <v>36</v>
      </c>
      <c r="J452">
        <v>72</v>
      </c>
      <c r="K452">
        <v>-11.6500000000014</v>
      </c>
      <c r="L452">
        <f>SUM($K$2:K452)</f>
        <v>1655.1499999999839</v>
      </c>
      <c r="M452">
        <f>MAX($L$2:L452)</f>
        <v>1667.3500000000065</v>
      </c>
      <c r="N452">
        <f t="shared" si="7"/>
        <v>12.200000000022555</v>
      </c>
    </row>
    <row r="453" spans="1:14" x14ac:dyDescent="0.35">
      <c r="A453" t="s">
        <v>869</v>
      </c>
      <c r="B453" t="s">
        <v>870</v>
      </c>
      <c r="C453" t="s">
        <v>32</v>
      </c>
      <c r="D453">
        <v>24541</v>
      </c>
      <c r="E453">
        <v>24630.7</v>
      </c>
      <c r="F453">
        <v>24361.599999999999</v>
      </c>
      <c r="G453">
        <v>24630.7</v>
      </c>
      <c r="H453" t="s">
        <v>16</v>
      </c>
      <c r="I453">
        <v>89.700000000000699</v>
      </c>
      <c r="J453">
        <v>179.400000000001</v>
      </c>
      <c r="K453">
        <v>-89.700000000000699</v>
      </c>
      <c r="L453">
        <f>SUM($K$2:K453)</f>
        <v>1565.4499999999832</v>
      </c>
      <c r="M453">
        <f>MAX($L$2:L453)</f>
        <v>1667.3500000000065</v>
      </c>
      <c r="N453">
        <f t="shared" si="7"/>
        <v>101.90000000002328</v>
      </c>
    </row>
    <row r="454" spans="1:14" x14ac:dyDescent="0.35">
      <c r="A454" t="s">
        <v>870</v>
      </c>
      <c r="B454" t="s">
        <v>871</v>
      </c>
      <c r="C454" t="s">
        <v>13</v>
      </c>
      <c r="D454">
        <v>24630.55</v>
      </c>
      <c r="E454">
        <v>24607.45</v>
      </c>
      <c r="F454">
        <v>24676.749999999902</v>
      </c>
      <c r="G454">
        <v>24607.45</v>
      </c>
      <c r="H454" t="s">
        <v>16</v>
      </c>
      <c r="I454">
        <v>23.099999999998499</v>
      </c>
      <c r="J454">
        <v>46.199999999996997</v>
      </c>
      <c r="K454">
        <v>-23.099999999998499</v>
      </c>
      <c r="L454">
        <f>SUM($K$2:K454)</f>
        <v>1542.3499999999847</v>
      </c>
      <c r="M454">
        <f>MAX($L$2:L454)</f>
        <v>1667.3500000000065</v>
      </c>
      <c r="N454">
        <f t="shared" si="7"/>
        <v>125.00000000002183</v>
      </c>
    </row>
    <row r="455" spans="1:14" x14ac:dyDescent="0.35">
      <c r="A455" t="s">
        <v>872</v>
      </c>
      <c r="B455" t="s">
        <v>873</v>
      </c>
      <c r="C455" t="s">
        <v>13</v>
      </c>
      <c r="D455">
        <v>24873.75</v>
      </c>
      <c r="E455">
        <v>24856.25</v>
      </c>
      <c r="F455">
        <v>24908.75</v>
      </c>
      <c r="G455">
        <v>24856.25</v>
      </c>
      <c r="H455" t="s">
        <v>16</v>
      </c>
      <c r="I455">
        <v>17.5</v>
      </c>
      <c r="J455">
        <v>35</v>
      </c>
      <c r="K455">
        <v>-17.5</v>
      </c>
      <c r="L455">
        <f>SUM($K$2:K455)</f>
        <v>1524.8499999999847</v>
      </c>
      <c r="M455">
        <f>MAX($L$2:L455)</f>
        <v>1667.3500000000065</v>
      </c>
      <c r="N455">
        <f t="shared" si="7"/>
        <v>142.50000000002183</v>
      </c>
    </row>
    <row r="456" spans="1:14" x14ac:dyDescent="0.35">
      <c r="A456" t="s">
        <v>874</v>
      </c>
      <c r="B456" t="s">
        <v>875</v>
      </c>
      <c r="C456" t="s">
        <v>32</v>
      </c>
      <c r="D456">
        <v>24810.1</v>
      </c>
      <c r="E456">
        <v>24837.7</v>
      </c>
      <c r="F456">
        <v>24754.8999999999</v>
      </c>
      <c r="G456">
        <v>24837.7</v>
      </c>
      <c r="H456" t="s">
        <v>16</v>
      </c>
      <c r="I456">
        <v>27.600000000002101</v>
      </c>
      <c r="J456">
        <v>55.200000000004302</v>
      </c>
      <c r="K456">
        <v>-27.600000000002101</v>
      </c>
      <c r="L456">
        <f>SUM($K$2:K456)</f>
        <v>1497.2499999999825</v>
      </c>
      <c r="M456">
        <f>MAX($L$2:L456)</f>
        <v>1667.3500000000065</v>
      </c>
      <c r="N456">
        <f t="shared" si="7"/>
        <v>170.10000000002401</v>
      </c>
    </row>
    <row r="457" spans="1:14" x14ac:dyDescent="0.35">
      <c r="A457" t="s">
        <v>876</v>
      </c>
      <c r="B457" t="s">
        <v>877</v>
      </c>
      <c r="C457" t="s">
        <v>13</v>
      </c>
      <c r="D457">
        <v>24811.45</v>
      </c>
      <c r="E457">
        <v>24783.8</v>
      </c>
      <c r="F457">
        <v>24866.75</v>
      </c>
      <c r="G457">
        <v>24783.8</v>
      </c>
      <c r="H457" t="s">
        <v>16</v>
      </c>
      <c r="I457">
        <v>27.650000000001398</v>
      </c>
      <c r="J457">
        <v>55.300000000002903</v>
      </c>
      <c r="K457">
        <v>-27.650000000001398</v>
      </c>
      <c r="L457">
        <f>SUM($K$2:K457)</f>
        <v>1469.599999999981</v>
      </c>
      <c r="M457">
        <f>MAX($L$2:L457)</f>
        <v>1667.3500000000065</v>
      </c>
      <c r="N457">
        <f t="shared" si="7"/>
        <v>197.75000000002547</v>
      </c>
    </row>
    <row r="458" spans="1:14" x14ac:dyDescent="0.35">
      <c r="A458" t="s">
        <v>878</v>
      </c>
      <c r="B458" t="s">
        <v>879</v>
      </c>
      <c r="C458" t="s">
        <v>13</v>
      </c>
      <c r="D458">
        <v>24794.35</v>
      </c>
      <c r="E458">
        <v>24772.65</v>
      </c>
      <c r="F458">
        <v>24837.749999999902</v>
      </c>
      <c r="G458">
        <v>24772.65</v>
      </c>
      <c r="H458" t="s">
        <v>16</v>
      </c>
      <c r="I458">
        <v>21.699999999997001</v>
      </c>
      <c r="J458">
        <v>43.399999999994101</v>
      </c>
      <c r="K458">
        <v>-21.699999999997001</v>
      </c>
      <c r="L458">
        <f>SUM($K$2:K458)</f>
        <v>1447.8999999999839</v>
      </c>
      <c r="M458">
        <f>MAX($L$2:L458)</f>
        <v>1667.3500000000065</v>
      </c>
      <c r="N458">
        <f t="shared" si="7"/>
        <v>219.45000000002256</v>
      </c>
    </row>
    <row r="459" spans="1:14" x14ac:dyDescent="0.35">
      <c r="A459" t="s">
        <v>880</v>
      </c>
      <c r="B459" t="s">
        <v>881</v>
      </c>
      <c r="C459" t="s">
        <v>13</v>
      </c>
      <c r="D459">
        <v>24788.05</v>
      </c>
      <c r="E459">
        <v>24765.599999999999</v>
      </c>
      <c r="F459">
        <v>24832.95</v>
      </c>
      <c r="G459">
        <v>24832.95</v>
      </c>
      <c r="H459" t="s">
        <v>14</v>
      </c>
      <c r="I459">
        <v>22.450000000000699</v>
      </c>
      <c r="J459">
        <v>44.900000000001398</v>
      </c>
      <c r="K459">
        <v>44.900000000001398</v>
      </c>
      <c r="L459">
        <f>SUM($K$2:K459)</f>
        <v>1492.7999999999854</v>
      </c>
      <c r="M459">
        <f>MAX($L$2:L459)</f>
        <v>1667.3500000000065</v>
      </c>
      <c r="N459">
        <f t="shared" si="7"/>
        <v>174.5500000000211</v>
      </c>
    </row>
    <row r="460" spans="1:14" x14ac:dyDescent="0.35">
      <c r="A460" t="s">
        <v>882</v>
      </c>
      <c r="B460" t="s">
        <v>883</v>
      </c>
      <c r="C460" t="s">
        <v>13</v>
      </c>
      <c r="D460">
        <v>24826.1</v>
      </c>
      <c r="E460">
        <v>24808.9</v>
      </c>
      <c r="F460">
        <v>24860.499999999902</v>
      </c>
      <c r="G460">
        <v>24808.9</v>
      </c>
      <c r="H460" t="s">
        <v>16</v>
      </c>
      <c r="I460">
        <v>17.199999999997001</v>
      </c>
      <c r="J460">
        <v>34.399999999994101</v>
      </c>
      <c r="K460">
        <v>-17.199999999997001</v>
      </c>
      <c r="L460">
        <f>SUM($K$2:K460)</f>
        <v>1475.5999999999883</v>
      </c>
      <c r="M460">
        <f>MAX($L$2:L460)</f>
        <v>1667.3500000000065</v>
      </c>
      <c r="N460">
        <f t="shared" si="7"/>
        <v>191.75000000001819</v>
      </c>
    </row>
    <row r="461" spans="1:14" x14ac:dyDescent="0.35">
      <c r="A461" t="s">
        <v>884</v>
      </c>
      <c r="B461" t="s">
        <v>885</v>
      </c>
      <c r="C461" t="s">
        <v>13</v>
      </c>
      <c r="D461">
        <v>24818.6</v>
      </c>
      <c r="E461">
        <v>24797.75</v>
      </c>
      <c r="F461">
        <v>24860.299999999901</v>
      </c>
      <c r="G461">
        <v>24860.299999999901</v>
      </c>
      <c r="H461" t="s">
        <v>14</v>
      </c>
      <c r="I461">
        <v>20.849999999998499</v>
      </c>
      <c r="J461">
        <v>41.699999999996997</v>
      </c>
      <c r="K461">
        <v>41.699999999996997</v>
      </c>
      <c r="L461">
        <f>SUM($K$2:K461)</f>
        <v>1517.2999999999854</v>
      </c>
      <c r="M461">
        <f>MAX($L$2:L461)</f>
        <v>1667.3500000000065</v>
      </c>
      <c r="N461">
        <f t="shared" si="7"/>
        <v>150.0500000000211</v>
      </c>
    </row>
    <row r="462" spans="1:14" x14ac:dyDescent="0.35">
      <c r="A462" t="s">
        <v>886</v>
      </c>
      <c r="B462" t="s">
        <v>887</v>
      </c>
      <c r="C462" t="s">
        <v>13</v>
      </c>
      <c r="D462">
        <v>24879.75</v>
      </c>
      <c r="E462">
        <v>24860.15</v>
      </c>
      <c r="F462">
        <v>24918.949999999899</v>
      </c>
      <c r="G462">
        <v>24860.15</v>
      </c>
      <c r="H462" t="s">
        <v>16</v>
      </c>
      <c r="I462">
        <v>19.599999999998499</v>
      </c>
      <c r="J462">
        <v>39.199999999996997</v>
      </c>
      <c r="K462">
        <v>-19.599999999998499</v>
      </c>
      <c r="L462">
        <f>SUM($K$2:K462)</f>
        <v>1497.6999999999869</v>
      </c>
      <c r="M462">
        <f>MAX($L$2:L462)</f>
        <v>1667.3500000000065</v>
      </c>
      <c r="N462">
        <f t="shared" si="7"/>
        <v>169.65000000001965</v>
      </c>
    </row>
    <row r="463" spans="1:14" x14ac:dyDescent="0.35">
      <c r="A463" t="s">
        <v>888</v>
      </c>
      <c r="B463" t="s">
        <v>889</v>
      </c>
      <c r="C463" t="s">
        <v>32</v>
      </c>
      <c r="D463">
        <v>24819.1</v>
      </c>
      <c r="E463">
        <v>24833.85</v>
      </c>
      <c r="F463">
        <v>24789.599999999999</v>
      </c>
      <c r="G463">
        <v>24833.85</v>
      </c>
      <c r="H463" t="s">
        <v>16</v>
      </c>
      <c r="I463">
        <v>14.75</v>
      </c>
      <c r="J463">
        <v>29.5</v>
      </c>
      <c r="K463">
        <v>-14.75</v>
      </c>
      <c r="L463">
        <f>SUM($K$2:K463)</f>
        <v>1482.9499999999869</v>
      </c>
      <c r="M463">
        <f>MAX($L$2:L463)</f>
        <v>1667.3500000000065</v>
      </c>
      <c r="N463">
        <f t="shared" si="7"/>
        <v>184.40000000001965</v>
      </c>
    </row>
    <row r="464" spans="1:14" x14ac:dyDescent="0.35">
      <c r="A464" t="s">
        <v>890</v>
      </c>
      <c r="B464" t="s">
        <v>891</v>
      </c>
      <c r="C464" t="s">
        <v>13</v>
      </c>
      <c r="D464">
        <v>24853.05</v>
      </c>
      <c r="E464">
        <v>24835.25</v>
      </c>
      <c r="F464">
        <v>24888.6499999999</v>
      </c>
      <c r="G464">
        <v>24835.25</v>
      </c>
      <c r="H464" t="s">
        <v>16</v>
      </c>
      <c r="I464">
        <v>17.799999999999201</v>
      </c>
      <c r="J464">
        <v>35.599999999998502</v>
      </c>
      <c r="K464">
        <v>-17.799999999999201</v>
      </c>
      <c r="L464">
        <f>SUM($K$2:K464)</f>
        <v>1465.1499999999876</v>
      </c>
      <c r="M464">
        <f>MAX($L$2:L464)</f>
        <v>1667.3500000000065</v>
      </c>
      <c r="N464">
        <f t="shared" si="7"/>
        <v>202.20000000001892</v>
      </c>
    </row>
    <row r="465" spans="1:14" x14ac:dyDescent="0.35">
      <c r="A465" t="s">
        <v>892</v>
      </c>
      <c r="B465" t="s">
        <v>893</v>
      </c>
      <c r="C465" t="s">
        <v>13</v>
      </c>
      <c r="D465">
        <v>25008.65</v>
      </c>
      <c r="E465">
        <v>24992.55</v>
      </c>
      <c r="F465">
        <v>25040.85</v>
      </c>
      <c r="G465">
        <v>24992.55</v>
      </c>
      <c r="H465" t="s">
        <v>16</v>
      </c>
      <c r="I465">
        <v>16.100000000002101</v>
      </c>
      <c r="J465">
        <v>32.200000000004302</v>
      </c>
      <c r="K465">
        <v>-16.100000000002101</v>
      </c>
      <c r="L465">
        <f>SUM($K$2:K465)</f>
        <v>1449.0499999999854</v>
      </c>
      <c r="M465">
        <f>MAX($L$2:L465)</f>
        <v>1667.3500000000065</v>
      </c>
      <c r="N465">
        <f t="shared" si="7"/>
        <v>218.3000000000211</v>
      </c>
    </row>
    <row r="466" spans="1:14" x14ac:dyDescent="0.35">
      <c r="A466" t="s">
        <v>894</v>
      </c>
      <c r="B466" t="s">
        <v>895</v>
      </c>
      <c r="C466" t="s">
        <v>32</v>
      </c>
      <c r="D466">
        <v>24959.599999999999</v>
      </c>
      <c r="E466">
        <v>24976.85</v>
      </c>
      <c r="F466">
        <v>24925.1</v>
      </c>
      <c r="G466">
        <v>24976.85</v>
      </c>
      <c r="H466" t="s">
        <v>16</v>
      </c>
      <c r="I466">
        <v>17.25</v>
      </c>
      <c r="J466">
        <v>34.5</v>
      </c>
      <c r="K466">
        <v>-17.25</v>
      </c>
      <c r="L466">
        <f>SUM($K$2:K466)</f>
        <v>1431.7999999999854</v>
      </c>
      <c r="M466">
        <f>MAX($L$2:L466)</f>
        <v>1667.3500000000065</v>
      </c>
      <c r="N466">
        <f t="shared" si="7"/>
        <v>235.5500000000211</v>
      </c>
    </row>
    <row r="467" spans="1:14" x14ac:dyDescent="0.35">
      <c r="A467" t="s">
        <v>896</v>
      </c>
      <c r="B467" t="s">
        <v>897</v>
      </c>
      <c r="C467" t="s">
        <v>13</v>
      </c>
      <c r="D467">
        <v>25000.799999999999</v>
      </c>
      <c r="E467">
        <v>24940.15</v>
      </c>
      <c r="F467">
        <v>25122.0999999999</v>
      </c>
      <c r="G467">
        <v>25008.1</v>
      </c>
      <c r="H467" t="s">
        <v>23</v>
      </c>
      <c r="I467">
        <v>60.649999999997803</v>
      </c>
      <c r="J467">
        <v>121.29999999999499</v>
      </c>
      <c r="K467">
        <v>7.2999999999992697</v>
      </c>
      <c r="L467">
        <f>SUM($K$2:K467)</f>
        <v>1439.0999999999847</v>
      </c>
      <c r="M467">
        <f>MAX($L$2:L467)</f>
        <v>1667.3500000000065</v>
      </c>
      <c r="N467">
        <f t="shared" si="7"/>
        <v>228.25000000002183</v>
      </c>
    </row>
    <row r="468" spans="1:14" x14ac:dyDescent="0.35">
      <c r="A468" t="s">
        <v>898</v>
      </c>
      <c r="B468" t="s">
        <v>899</v>
      </c>
      <c r="C468" t="s">
        <v>13</v>
      </c>
      <c r="D468">
        <v>25059.1</v>
      </c>
      <c r="E468">
        <v>25038.05</v>
      </c>
      <c r="F468">
        <v>25101.199999999899</v>
      </c>
      <c r="G468">
        <v>25101.199999999899</v>
      </c>
      <c r="H468" t="s">
        <v>14</v>
      </c>
      <c r="I468">
        <v>21.049999999999201</v>
      </c>
      <c r="J468">
        <v>42.099999999998502</v>
      </c>
      <c r="K468">
        <v>42.099999999998502</v>
      </c>
      <c r="L468">
        <f>SUM($K$2:K468)</f>
        <v>1481.1999999999832</v>
      </c>
      <c r="M468">
        <f>MAX($L$2:L468)</f>
        <v>1667.3500000000065</v>
      </c>
      <c r="N468">
        <f t="shared" si="7"/>
        <v>186.15000000002328</v>
      </c>
    </row>
    <row r="469" spans="1:14" x14ac:dyDescent="0.35">
      <c r="A469" t="s">
        <v>899</v>
      </c>
      <c r="B469" t="s">
        <v>900</v>
      </c>
      <c r="C469" t="s">
        <v>13</v>
      </c>
      <c r="D469">
        <v>25102.75</v>
      </c>
      <c r="E469">
        <v>25086.9</v>
      </c>
      <c r="F469">
        <v>25134.449999999899</v>
      </c>
      <c r="G469">
        <v>25134.449999999899</v>
      </c>
      <c r="H469" t="s">
        <v>14</v>
      </c>
      <c r="I469">
        <v>15.8499999999985</v>
      </c>
      <c r="J469">
        <v>31.699999999997001</v>
      </c>
      <c r="K469">
        <v>31.699999999997001</v>
      </c>
      <c r="L469">
        <f>SUM($K$2:K469)</f>
        <v>1512.8999999999803</v>
      </c>
      <c r="M469">
        <f>MAX($L$2:L469)</f>
        <v>1667.3500000000065</v>
      </c>
      <c r="N469">
        <f t="shared" si="7"/>
        <v>154.45000000002619</v>
      </c>
    </row>
    <row r="470" spans="1:14" x14ac:dyDescent="0.35">
      <c r="A470" t="s">
        <v>901</v>
      </c>
      <c r="B470" t="s">
        <v>902</v>
      </c>
      <c r="C470" t="s">
        <v>32</v>
      </c>
      <c r="D470">
        <v>25087</v>
      </c>
      <c r="E470">
        <v>25114.3</v>
      </c>
      <c r="F470">
        <v>25032.400000000001</v>
      </c>
      <c r="G470">
        <v>25114.3</v>
      </c>
      <c r="H470" t="s">
        <v>16</v>
      </c>
      <c r="I470">
        <v>27.299999999999201</v>
      </c>
      <c r="J470">
        <v>54.599999999998502</v>
      </c>
      <c r="K470">
        <v>-27.299999999999201</v>
      </c>
      <c r="L470">
        <f>SUM($K$2:K470)</f>
        <v>1485.599999999981</v>
      </c>
      <c r="M470">
        <f>MAX($L$2:L470)</f>
        <v>1667.3500000000065</v>
      </c>
      <c r="N470">
        <f t="shared" si="7"/>
        <v>181.75000000002547</v>
      </c>
    </row>
    <row r="471" spans="1:14" x14ac:dyDescent="0.35">
      <c r="A471" t="s">
        <v>903</v>
      </c>
      <c r="B471" t="s">
        <v>904</v>
      </c>
      <c r="C471" t="s">
        <v>13</v>
      </c>
      <c r="D471">
        <v>25113.8</v>
      </c>
      <c r="E471">
        <v>25091.55</v>
      </c>
      <c r="F471">
        <v>25158.3</v>
      </c>
      <c r="G471">
        <v>25091.55</v>
      </c>
      <c r="H471" t="s">
        <v>16</v>
      </c>
      <c r="I471">
        <v>22.25</v>
      </c>
      <c r="J471">
        <v>44.5</v>
      </c>
      <c r="K471">
        <v>-22.25</v>
      </c>
      <c r="L471">
        <f>SUM($K$2:K471)</f>
        <v>1463.349999999981</v>
      </c>
      <c r="M471">
        <f>MAX($L$2:L471)</f>
        <v>1667.3500000000065</v>
      </c>
      <c r="N471">
        <f t="shared" si="7"/>
        <v>204.00000000002547</v>
      </c>
    </row>
    <row r="472" spans="1:14" x14ac:dyDescent="0.35">
      <c r="A472" t="s">
        <v>905</v>
      </c>
      <c r="B472" t="s">
        <v>906</v>
      </c>
      <c r="C472" t="s">
        <v>13</v>
      </c>
      <c r="D472">
        <v>25191.65</v>
      </c>
      <c r="E472">
        <v>25174.2</v>
      </c>
      <c r="F472">
        <v>25226.55</v>
      </c>
      <c r="G472">
        <v>25174.2</v>
      </c>
      <c r="H472" t="s">
        <v>16</v>
      </c>
      <c r="I472">
        <v>17.450000000000699</v>
      </c>
      <c r="J472">
        <v>34.900000000001398</v>
      </c>
      <c r="K472">
        <v>-17.450000000000699</v>
      </c>
      <c r="L472">
        <f>SUM($K$2:K472)</f>
        <v>1445.8999999999803</v>
      </c>
      <c r="M472">
        <f>MAX($L$2:L472)</f>
        <v>1667.3500000000065</v>
      </c>
      <c r="N472">
        <f t="shared" si="7"/>
        <v>221.45000000002619</v>
      </c>
    </row>
    <row r="473" spans="1:14" x14ac:dyDescent="0.35">
      <c r="A473" t="s">
        <v>907</v>
      </c>
      <c r="B473" t="s">
        <v>908</v>
      </c>
      <c r="C473" t="s">
        <v>32</v>
      </c>
      <c r="D473">
        <v>25162.5</v>
      </c>
      <c r="E473">
        <v>25182.5</v>
      </c>
      <c r="F473">
        <v>25122.5</v>
      </c>
      <c r="G473">
        <v>25182.5</v>
      </c>
      <c r="H473" t="s">
        <v>16</v>
      </c>
      <c r="I473">
        <v>20</v>
      </c>
      <c r="J473">
        <v>40</v>
      </c>
      <c r="K473">
        <v>-20</v>
      </c>
      <c r="L473">
        <f>SUM($K$2:K473)</f>
        <v>1425.8999999999803</v>
      </c>
      <c r="M473">
        <f>MAX($L$2:L473)</f>
        <v>1667.3500000000065</v>
      </c>
      <c r="N473">
        <f t="shared" si="7"/>
        <v>241.45000000002619</v>
      </c>
    </row>
    <row r="474" spans="1:14" x14ac:dyDescent="0.35">
      <c r="A474" t="s">
        <v>909</v>
      </c>
      <c r="B474" t="s">
        <v>910</v>
      </c>
      <c r="C474" t="s">
        <v>13</v>
      </c>
      <c r="D474">
        <v>25326.6</v>
      </c>
      <c r="E474">
        <v>25305.45</v>
      </c>
      <c r="F474">
        <v>25368.8999999999</v>
      </c>
      <c r="G474">
        <v>25305.45</v>
      </c>
      <c r="H474" t="s">
        <v>16</v>
      </c>
      <c r="I474">
        <v>21.149999999997799</v>
      </c>
      <c r="J474">
        <v>42.299999999995599</v>
      </c>
      <c r="K474">
        <v>-21.149999999997799</v>
      </c>
      <c r="L474">
        <f>SUM($K$2:K474)</f>
        <v>1404.7499999999825</v>
      </c>
      <c r="M474">
        <f>MAX($L$2:L474)</f>
        <v>1667.3500000000065</v>
      </c>
      <c r="N474">
        <f t="shared" si="7"/>
        <v>262.60000000002401</v>
      </c>
    </row>
    <row r="475" spans="1:14" x14ac:dyDescent="0.35">
      <c r="A475" t="s">
        <v>911</v>
      </c>
      <c r="B475" t="s">
        <v>912</v>
      </c>
      <c r="C475" t="s">
        <v>32</v>
      </c>
      <c r="D475">
        <v>25359.3</v>
      </c>
      <c r="E475">
        <v>25389.35</v>
      </c>
      <c r="F475">
        <v>25299.200000000001</v>
      </c>
      <c r="G475">
        <v>25389.35</v>
      </c>
      <c r="H475" t="s">
        <v>16</v>
      </c>
      <c r="I475">
        <v>30.049999999999201</v>
      </c>
      <c r="J475">
        <v>60.099999999998502</v>
      </c>
      <c r="K475">
        <v>-30.049999999999201</v>
      </c>
      <c r="L475">
        <f>SUM($K$2:K475)</f>
        <v>1374.6999999999832</v>
      </c>
      <c r="M475">
        <f>MAX($L$2:L475)</f>
        <v>1667.3500000000065</v>
      </c>
      <c r="N475">
        <f t="shared" si="7"/>
        <v>292.65000000002328</v>
      </c>
    </row>
    <row r="476" spans="1:14" x14ac:dyDescent="0.35">
      <c r="A476" t="s">
        <v>913</v>
      </c>
      <c r="B476" t="s">
        <v>914</v>
      </c>
      <c r="C476" t="s">
        <v>32</v>
      </c>
      <c r="D476">
        <v>25319.85</v>
      </c>
      <c r="E476">
        <v>25345.25</v>
      </c>
      <c r="F476">
        <v>25269.049999999901</v>
      </c>
      <c r="G476">
        <v>25345.25</v>
      </c>
      <c r="H476" t="s">
        <v>16</v>
      </c>
      <c r="I476">
        <v>25.400000000001398</v>
      </c>
      <c r="J476">
        <v>50.800000000002903</v>
      </c>
      <c r="K476">
        <v>-25.400000000001398</v>
      </c>
      <c r="L476">
        <f>SUM($K$2:K476)</f>
        <v>1349.2999999999818</v>
      </c>
      <c r="M476">
        <f>MAX($L$2:L476)</f>
        <v>1667.3500000000065</v>
      </c>
      <c r="N476">
        <f t="shared" si="7"/>
        <v>318.05000000002474</v>
      </c>
    </row>
    <row r="477" spans="1:14" x14ac:dyDescent="0.35">
      <c r="A477" t="s">
        <v>915</v>
      </c>
      <c r="B477" t="s">
        <v>916</v>
      </c>
      <c r="C477" t="s">
        <v>32</v>
      </c>
      <c r="D477">
        <v>25274.6</v>
      </c>
      <c r="E477">
        <v>25289.65</v>
      </c>
      <c r="F477">
        <v>25244.499999999902</v>
      </c>
      <c r="G477">
        <v>25244.499999999902</v>
      </c>
      <c r="H477" t="s">
        <v>14</v>
      </c>
      <c r="I477">
        <v>15.0500000000029</v>
      </c>
      <c r="J477">
        <v>30.100000000005799</v>
      </c>
      <c r="K477">
        <v>30.100000000005799</v>
      </c>
      <c r="L477">
        <f>SUM($K$2:K477)</f>
        <v>1379.3999999999876</v>
      </c>
      <c r="M477">
        <f>MAX($L$2:L477)</f>
        <v>1667.3500000000065</v>
      </c>
      <c r="N477">
        <f t="shared" si="7"/>
        <v>287.95000000001892</v>
      </c>
    </row>
    <row r="478" spans="1:14" x14ac:dyDescent="0.35">
      <c r="A478" t="s">
        <v>916</v>
      </c>
      <c r="B478" t="s">
        <v>917</v>
      </c>
      <c r="C478" t="s">
        <v>32</v>
      </c>
      <c r="D478">
        <v>25236.5</v>
      </c>
      <c r="E478">
        <v>25264.75</v>
      </c>
      <c r="F478">
        <v>25180</v>
      </c>
      <c r="G478">
        <v>25180</v>
      </c>
      <c r="H478" t="s">
        <v>14</v>
      </c>
      <c r="I478">
        <v>28.25</v>
      </c>
      <c r="J478">
        <v>56.5</v>
      </c>
      <c r="K478">
        <v>56.5</v>
      </c>
      <c r="L478">
        <f>SUM($K$2:K478)</f>
        <v>1435.8999999999876</v>
      </c>
      <c r="M478">
        <f>MAX($L$2:L478)</f>
        <v>1667.3500000000065</v>
      </c>
      <c r="N478">
        <f t="shared" si="7"/>
        <v>231.45000000001892</v>
      </c>
    </row>
    <row r="479" spans="1:14" x14ac:dyDescent="0.35">
      <c r="A479" t="s">
        <v>918</v>
      </c>
      <c r="B479" t="s">
        <v>919</v>
      </c>
      <c r="C479" t="s">
        <v>32</v>
      </c>
      <c r="D479">
        <v>25210</v>
      </c>
      <c r="E479">
        <v>25247.200000000001</v>
      </c>
      <c r="F479">
        <v>25135.599999999999</v>
      </c>
      <c r="G479">
        <v>25135.599999999999</v>
      </c>
      <c r="H479" t="s">
        <v>14</v>
      </c>
      <c r="I479">
        <v>37.200000000000699</v>
      </c>
      <c r="J479">
        <v>74.400000000001398</v>
      </c>
      <c r="K479">
        <v>74.400000000001398</v>
      </c>
      <c r="L479">
        <f>SUM($K$2:K479)</f>
        <v>1510.299999999989</v>
      </c>
      <c r="M479">
        <f>MAX($L$2:L479)</f>
        <v>1667.3500000000065</v>
      </c>
      <c r="N479">
        <f t="shared" si="7"/>
        <v>157.05000000001746</v>
      </c>
    </row>
    <row r="480" spans="1:14" x14ac:dyDescent="0.35">
      <c r="A480" t="s">
        <v>920</v>
      </c>
      <c r="B480" t="s">
        <v>921</v>
      </c>
      <c r="C480" t="s">
        <v>32</v>
      </c>
      <c r="D480">
        <v>25151</v>
      </c>
      <c r="E480">
        <v>25163.25</v>
      </c>
      <c r="F480">
        <v>25126.5</v>
      </c>
      <c r="G480">
        <v>25126.5</v>
      </c>
      <c r="H480" t="s">
        <v>14</v>
      </c>
      <c r="I480">
        <v>12.25</v>
      </c>
      <c r="J480">
        <v>24.5</v>
      </c>
      <c r="K480">
        <v>24.5</v>
      </c>
      <c r="L480">
        <f>SUM($K$2:K480)</f>
        <v>1534.799999999989</v>
      </c>
      <c r="M480">
        <f>MAX($L$2:L480)</f>
        <v>1667.3500000000065</v>
      </c>
      <c r="N480">
        <f t="shared" si="7"/>
        <v>132.55000000001746</v>
      </c>
    </row>
    <row r="481" spans="1:14" x14ac:dyDescent="0.35">
      <c r="A481" t="s">
        <v>922</v>
      </c>
      <c r="B481" t="s">
        <v>923</v>
      </c>
      <c r="C481" t="s">
        <v>32</v>
      </c>
      <c r="D481">
        <v>25098.9</v>
      </c>
      <c r="E481">
        <v>25125.8</v>
      </c>
      <c r="F481">
        <v>25045.1</v>
      </c>
      <c r="G481">
        <v>25125.8</v>
      </c>
      <c r="H481" t="s">
        <v>16</v>
      </c>
      <c r="I481">
        <v>26.899999999997799</v>
      </c>
      <c r="J481">
        <v>53.799999999995599</v>
      </c>
      <c r="K481">
        <v>-26.899999999997799</v>
      </c>
      <c r="L481">
        <f>SUM($K$2:K481)</f>
        <v>1507.8999999999912</v>
      </c>
      <c r="M481">
        <f>MAX($L$2:L481)</f>
        <v>1667.3500000000065</v>
      </c>
      <c r="N481">
        <f t="shared" si="7"/>
        <v>159.45000000001528</v>
      </c>
    </row>
    <row r="482" spans="1:14" x14ac:dyDescent="0.35">
      <c r="A482" t="s">
        <v>924</v>
      </c>
      <c r="B482" t="s">
        <v>925</v>
      </c>
      <c r="C482" t="s">
        <v>13</v>
      </c>
      <c r="D482">
        <v>25202.85</v>
      </c>
      <c r="E482">
        <v>25181.4</v>
      </c>
      <c r="F482">
        <v>25245.749999999902</v>
      </c>
      <c r="G482">
        <v>25245.749999999902</v>
      </c>
      <c r="H482" t="s">
        <v>14</v>
      </c>
      <c r="I482">
        <v>21.449999999997001</v>
      </c>
      <c r="J482">
        <v>42.899999999994101</v>
      </c>
      <c r="K482">
        <v>42.899999999994101</v>
      </c>
      <c r="L482">
        <f>SUM($K$2:K482)</f>
        <v>1550.7999999999854</v>
      </c>
      <c r="M482">
        <f>MAX($L$2:L482)</f>
        <v>1667.3500000000065</v>
      </c>
      <c r="N482">
        <f t="shared" si="7"/>
        <v>116.5500000000211</v>
      </c>
    </row>
    <row r="483" spans="1:14" x14ac:dyDescent="0.35">
      <c r="A483" t="s">
        <v>925</v>
      </c>
      <c r="B483" t="s">
        <v>926</v>
      </c>
      <c r="C483" t="s">
        <v>13</v>
      </c>
      <c r="D483">
        <v>25251.75</v>
      </c>
      <c r="E483">
        <v>25225.599999999999</v>
      </c>
      <c r="F483">
        <v>25304.05</v>
      </c>
      <c r="G483">
        <v>25225.599999999999</v>
      </c>
      <c r="H483" t="s">
        <v>16</v>
      </c>
      <c r="I483">
        <v>26.150000000001398</v>
      </c>
      <c r="J483">
        <v>52.300000000002903</v>
      </c>
      <c r="K483">
        <v>-26.150000000001398</v>
      </c>
      <c r="L483">
        <f>SUM($K$2:K483)</f>
        <v>1524.6499999999839</v>
      </c>
      <c r="M483">
        <f>MAX($L$2:L483)</f>
        <v>1667.3500000000065</v>
      </c>
      <c r="N483">
        <f t="shared" si="7"/>
        <v>142.70000000002256</v>
      </c>
    </row>
    <row r="484" spans="1:14" x14ac:dyDescent="0.35">
      <c r="A484" t="s">
        <v>927</v>
      </c>
      <c r="B484" t="s">
        <v>928</v>
      </c>
      <c r="C484" t="s">
        <v>32</v>
      </c>
      <c r="D484">
        <v>25078.15</v>
      </c>
      <c r="E484">
        <v>25095.9</v>
      </c>
      <c r="F484">
        <v>25042.65</v>
      </c>
      <c r="G484">
        <v>25042.65</v>
      </c>
      <c r="H484" t="s">
        <v>14</v>
      </c>
      <c r="I484">
        <v>17.75</v>
      </c>
      <c r="J484">
        <v>35.5</v>
      </c>
      <c r="K484">
        <v>35.5</v>
      </c>
      <c r="L484">
        <f>SUM($K$2:K484)</f>
        <v>1560.1499999999839</v>
      </c>
      <c r="M484">
        <f>MAX($L$2:L484)</f>
        <v>1667.3500000000065</v>
      </c>
      <c r="N484">
        <f t="shared" si="7"/>
        <v>107.20000000002256</v>
      </c>
    </row>
    <row r="485" spans="1:14" x14ac:dyDescent="0.35">
      <c r="A485" t="s">
        <v>929</v>
      </c>
      <c r="B485" t="s">
        <v>930</v>
      </c>
      <c r="C485" t="s">
        <v>13</v>
      </c>
      <c r="D485">
        <v>25104.15</v>
      </c>
      <c r="E485">
        <v>25089.15</v>
      </c>
      <c r="F485">
        <v>25134.15</v>
      </c>
      <c r="G485">
        <v>25134.15</v>
      </c>
      <c r="H485" t="s">
        <v>14</v>
      </c>
      <c r="I485">
        <v>15</v>
      </c>
      <c r="J485">
        <v>30</v>
      </c>
      <c r="K485">
        <v>30</v>
      </c>
      <c r="L485">
        <f>SUM($K$2:K485)</f>
        <v>1590.1499999999839</v>
      </c>
      <c r="M485">
        <f>MAX($L$2:L485)</f>
        <v>1667.3500000000065</v>
      </c>
      <c r="N485">
        <f t="shared" si="7"/>
        <v>77.200000000022555</v>
      </c>
    </row>
    <row r="486" spans="1:14" x14ac:dyDescent="0.35">
      <c r="A486" t="s">
        <v>931</v>
      </c>
      <c r="B486" t="s">
        <v>932</v>
      </c>
      <c r="C486" t="s">
        <v>13</v>
      </c>
      <c r="D486">
        <v>25129.55</v>
      </c>
      <c r="E486">
        <v>25113.05</v>
      </c>
      <c r="F486">
        <v>25162.55</v>
      </c>
      <c r="G486">
        <v>25113.05</v>
      </c>
      <c r="H486" t="s">
        <v>16</v>
      </c>
      <c r="I486">
        <v>16.5</v>
      </c>
      <c r="J486">
        <v>33</v>
      </c>
      <c r="K486">
        <v>-16.5</v>
      </c>
      <c r="L486">
        <f>SUM($K$2:K486)</f>
        <v>1573.6499999999839</v>
      </c>
      <c r="M486">
        <f>MAX($L$2:L486)</f>
        <v>1667.3500000000065</v>
      </c>
      <c r="N486">
        <f t="shared" si="7"/>
        <v>93.700000000022555</v>
      </c>
    </row>
    <row r="487" spans="1:14" x14ac:dyDescent="0.35">
      <c r="A487" t="s">
        <v>933</v>
      </c>
      <c r="B487" t="s">
        <v>934</v>
      </c>
      <c r="C487" t="s">
        <v>32</v>
      </c>
      <c r="D487">
        <v>25075.15</v>
      </c>
      <c r="E487">
        <v>25091.15</v>
      </c>
      <c r="F487">
        <v>25043.15</v>
      </c>
      <c r="G487">
        <v>25091.15</v>
      </c>
      <c r="H487" t="s">
        <v>16</v>
      </c>
      <c r="I487">
        <v>16</v>
      </c>
      <c r="J487">
        <v>32</v>
      </c>
      <c r="K487">
        <v>-16</v>
      </c>
      <c r="L487">
        <f>SUM($K$2:K487)</f>
        <v>1557.6499999999839</v>
      </c>
      <c r="M487">
        <f>MAX($L$2:L487)</f>
        <v>1667.3500000000065</v>
      </c>
      <c r="N487">
        <f t="shared" si="7"/>
        <v>109.70000000002256</v>
      </c>
    </row>
    <row r="488" spans="1:14" x14ac:dyDescent="0.35">
      <c r="A488" t="s">
        <v>935</v>
      </c>
      <c r="B488" t="s">
        <v>936</v>
      </c>
      <c r="C488" t="s">
        <v>32</v>
      </c>
      <c r="D488">
        <v>25058.7</v>
      </c>
      <c r="E488">
        <v>25092.7</v>
      </c>
      <c r="F488">
        <v>24990.7</v>
      </c>
      <c r="G488">
        <v>24990.7</v>
      </c>
      <c r="H488" t="s">
        <v>14</v>
      </c>
      <c r="I488">
        <v>34</v>
      </c>
      <c r="J488">
        <v>68</v>
      </c>
      <c r="K488">
        <v>68</v>
      </c>
      <c r="L488">
        <f>SUM($K$2:K488)</f>
        <v>1625.6499999999839</v>
      </c>
      <c r="M488">
        <f>MAX($L$2:L488)</f>
        <v>1667.3500000000065</v>
      </c>
      <c r="N488">
        <f t="shared" si="7"/>
        <v>41.700000000022555</v>
      </c>
    </row>
    <row r="489" spans="1:14" x14ac:dyDescent="0.35">
      <c r="A489" t="s">
        <v>936</v>
      </c>
      <c r="B489" t="s">
        <v>937</v>
      </c>
      <c r="C489" t="s">
        <v>32</v>
      </c>
      <c r="D489">
        <v>24989.75</v>
      </c>
      <c r="E489">
        <v>25014.45</v>
      </c>
      <c r="F489">
        <v>24940.35</v>
      </c>
      <c r="G489">
        <v>24940.35</v>
      </c>
      <c r="H489" t="s">
        <v>14</v>
      </c>
      <c r="I489">
        <v>24.700000000000699</v>
      </c>
      <c r="J489">
        <v>49.400000000001398</v>
      </c>
      <c r="K489">
        <v>49.400000000001398</v>
      </c>
      <c r="L489">
        <f>SUM($K$2:K489)</f>
        <v>1675.0499999999854</v>
      </c>
      <c r="M489">
        <f>MAX($L$2:L489)</f>
        <v>1675.0499999999854</v>
      </c>
      <c r="N489">
        <f t="shared" si="7"/>
        <v>0</v>
      </c>
    </row>
    <row r="490" spans="1:14" x14ac:dyDescent="0.35">
      <c r="A490" t="s">
        <v>938</v>
      </c>
      <c r="B490" t="s">
        <v>939</v>
      </c>
      <c r="C490" t="s">
        <v>32</v>
      </c>
      <c r="D490">
        <v>24944.400000000001</v>
      </c>
      <c r="E490">
        <v>24962.1</v>
      </c>
      <c r="F490">
        <v>24909</v>
      </c>
      <c r="G490">
        <v>24909</v>
      </c>
      <c r="H490" t="s">
        <v>14</v>
      </c>
      <c r="I490">
        <v>17.699999999997001</v>
      </c>
      <c r="J490">
        <v>35.399999999994101</v>
      </c>
      <c r="K490">
        <v>35.399999999994101</v>
      </c>
      <c r="L490">
        <f>SUM($K$2:K490)</f>
        <v>1710.4499999999796</v>
      </c>
      <c r="M490">
        <f>MAX($L$2:L490)</f>
        <v>1710.4499999999796</v>
      </c>
      <c r="N490">
        <f t="shared" si="7"/>
        <v>0</v>
      </c>
    </row>
    <row r="491" spans="1:14" x14ac:dyDescent="0.35">
      <c r="A491" t="s">
        <v>940</v>
      </c>
      <c r="B491" t="s">
        <v>941</v>
      </c>
      <c r="C491" t="s">
        <v>32</v>
      </c>
      <c r="D491">
        <v>24799.1</v>
      </c>
      <c r="E491">
        <v>24818.95</v>
      </c>
      <c r="F491">
        <v>24759.3999999999</v>
      </c>
      <c r="G491">
        <v>24759.3999999999</v>
      </c>
      <c r="H491" t="s">
        <v>14</v>
      </c>
      <c r="I491">
        <v>19.850000000002101</v>
      </c>
      <c r="J491">
        <v>39.700000000004302</v>
      </c>
      <c r="K491">
        <v>39.700000000004302</v>
      </c>
      <c r="L491">
        <f>SUM($K$2:K491)</f>
        <v>1750.1499999999839</v>
      </c>
      <c r="M491">
        <f>MAX($L$2:L491)</f>
        <v>1750.1499999999839</v>
      </c>
      <c r="N491">
        <f t="shared" si="7"/>
        <v>0</v>
      </c>
    </row>
    <row r="492" spans="1:14" x14ac:dyDescent="0.35">
      <c r="A492" t="s">
        <v>942</v>
      </c>
      <c r="B492" t="s">
        <v>943</v>
      </c>
      <c r="C492" t="s">
        <v>32</v>
      </c>
      <c r="D492">
        <v>24752.7</v>
      </c>
      <c r="E492">
        <v>24767.45</v>
      </c>
      <c r="F492">
        <v>24723.200000000001</v>
      </c>
      <c r="G492">
        <v>24767.45</v>
      </c>
      <c r="H492" t="s">
        <v>16</v>
      </c>
      <c r="I492">
        <v>14.75</v>
      </c>
      <c r="J492">
        <v>29.5</v>
      </c>
      <c r="K492">
        <v>-14.75</v>
      </c>
      <c r="L492">
        <f>SUM($K$2:K492)</f>
        <v>1735.3999999999839</v>
      </c>
      <c r="M492">
        <f>MAX($L$2:L492)</f>
        <v>1750.1499999999839</v>
      </c>
      <c r="N492">
        <f t="shared" si="7"/>
        <v>14.75</v>
      </c>
    </row>
    <row r="493" spans="1:14" x14ac:dyDescent="0.35">
      <c r="A493" t="s">
        <v>944</v>
      </c>
      <c r="B493" t="s">
        <v>945</v>
      </c>
      <c r="C493" t="s">
        <v>32</v>
      </c>
      <c r="D493">
        <v>24742.2</v>
      </c>
      <c r="E493">
        <v>24755.599999999999</v>
      </c>
      <c r="F493">
        <v>24715.4</v>
      </c>
      <c r="G493">
        <v>24715.4</v>
      </c>
      <c r="H493" t="s">
        <v>14</v>
      </c>
      <c r="I493">
        <v>13.399999999997799</v>
      </c>
      <c r="J493">
        <v>26.799999999995599</v>
      </c>
      <c r="K493">
        <v>26.799999999995599</v>
      </c>
      <c r="L493">
        <f>SUM($K$2:K493)</f>
        <v>1762.1999999999796</v>
      </c>
      <c r="M493">
        <f>MAX($L$2:L493)</f>
        <v>1762.1999999999796</v>
      </c>
      <c r="N493">
        <f t="shared" si="7"/>
        <v>0</v>
      </c>
    </row>
    <row r="494" spans="1:14" x14ac:dyDescent="0.35">
      <c r="A494" t="s">
        <v>946</v>
      </c>
      <c r="B494" t="s">
        <v>947</v>
      </c>
      <c r="C494" t="s">
        <v>32</v>
      </c>
      <c r="D494">
        <v>24630.35</v>
      </c>
      <c r="E494">
        <v>24674.65</v>
      </c>
      <c r="F494">
        <v>24541.749999999902</v>
      </c>
      <c r="G494">
        <v>24673.1</v>
      </c>
      <c r="H494" t="s">
        <v>23</v>
      </c>
      <c r="I494">
        <v>44.300000000002903</v>
      </c>
      <c r="J494">
        <v>88.600000000005807</v>
      </c>
      <c r="K494">
        <v>-42.75</v>
      </c>
      <c r="L494">
        <f>SUM($K$2:K494)</f>
        <v>1719.4499999999796</v>
      </c>
      <c r="M494">
        <f>MAX($L$2:L494)</f>
        <v>1762.1999999999796</v>
      </c>
      <c r="N494">
        <f t="shared" si="7"/>
        <v>42.75</v>
      </c>
    </row>
    <row r="495" spans="1:14" x14ac:dyDescent="0.35">
      <c r="A495" t="s">
        <v>948</v>
      </c>
      <c r="B495" t="s">
        <v>949</v>
      </c>
      <c r="C495" t="s">
        <v>32</v>
      </c>
      <c r="D495">
        <v>24618.45</v>
      </c>
      <c r="E495">
        <v>24653.95</v>
      </c>
      <c r="F495">
        <v>24547.45</v>
      </c>
      <c r="G495">
        <v>24653.95</v>
      </c>
      <c r="H495" t="s">
        <v>16</v>
      </c>
      <c r="I495">
        <v>35.5</v>
      </c>
      <c r="J495">
        <v>71</v>
      </c>
      <c r="K495">
        <v>-35.5</v>
      </c>
      <c r="L495">
        <f>SUM($K$2:K495)</f>
        <v>1683.9499999999796</v>
      </c>
      <c r="M495">
        <f>MAX($L$2:L495)</f>
        <v>1762.1999999999796</v>
      </c>
      <c r="N495">
        <f t="shared" si="7"/>
        <v>78.25</v>
      </c>
    </row>
    <row r="496" spans="1:14" x14ac:dyDescent="0.35">
      <c r="A496" t="s">
        <v>950</v>
      </c>
      <c r="B496" t="s">
        <v>951</v>
      </c>
      <c r="C496" t="s">
        <v>13</v>
      </c>
      <c r="D496">
        <v>24713.05</v>
      </c>
      <c r="E496">
        <v>24685.95</v>
      </c>
      <c r="F496">
        <v>24767.249999999902</v>
      </c>
      <c r="G496">
        <v>24685.95</v>
      </c>
      <c r="H496" t="s">
        <v>16</v>
      </c>
      <c r="I496">
        <v>27.099999999998499</v>
      </c>
      <c r="J496">
        <v>54.199999999996997</v>
      </c>
      <c r="K496">
        <v>-27.099999999998499</v>
      </c>
      <c r="L496">
        <f>SUM($K$2:K496)</f>
        <v>1656.849999999981</v>
      </c>
      <c r="M496">
        <f>MAX($L$2:L496)</f>
        <v>1762.1999999999796</v>
      </c>
      <c r="N496">
        <f t="shared" si="7"/>
        <v>105.34999999999854</v>
      </c>
    </row>
    <row r="497" spans="1:14" x14ac:dyDescent="0.35">
      <c r="A497" t="s">
        <v>952</v>
      </c>
      <c r="B497" t="s">
        <v>953</v>
      </c>
      <c r="C497" t="s">
        <v>32</v>
      </c>
      <c r="D497">
        <v>24644.15</v>
      </c>
      <c r="E497">
        <v>24671.95</v>
      </c>
      <c r="F497">
        <v>24588.55</v>
      </c>
      <c r="G497">
        <v>24671.95</v>
      </c>
      <c r="H497" t="s">
        <v>16</v>
      </c>
      <c r="I497">
        <v>27.799999999999201</v>
      </c>
      <c r="J497">
        <v>55.599999999998502</v>
      </c>
      <c r="K497">
        <v>-27.799999999999201</v>
      </c>
      <c r="L497">
        <f>SUM($K$2:K497)</f>
        <v>1629.0499999999818</v>
      </c>
      <c r="M497">
        <f>MAX($L$2:L497)</f>
        <v>1762.1999999999796</v>
      </c>
      <c r="N497">
        <f t="shared" si="7"/>
        <v>133.14999999999782</v>
      </c>
    </row>
    <row r="498" spans="1:14" x14ac:dyDescent="0.35">
      <c r="A498" t="s">
        <v>954</v>
      </c>
      <c r="B498" t="s">
        <v>955</v>
      </c>
      <c r="C498" t="s">
        <v>32</v>
      </c>
      <c r="D498">
        <v>24632.2</v>
      </c>
      <c r="E498">
        <v>24650.6</v>
      </c>
      <c r="F498">
        <v>24595.4</v>
      </c>
      <c r="G498">
        <v>24595.4</v>
      </c>
      <c r="H498" t="s">
        <v>14</v>
      </c>
      <c r="I498">
        <v>18.399999999997799</v>
      </c>
      <c r="J498">
        <v>36.799999999995599</v>
      </c>
      <c r="K498">
        <v>36.799999999995599</v>
      </c>
      <c r="L498">
        <f>SUM($K$2:K498)</f>
        <v>1665.8499999999774</v>
      </c>
      <c r="M498">
        <f>MAX($L$2:L498)</f>
        <v>1762.1999999999796</v>
      </c>
      <c r="N498">
        <f t="shared" si="7"/>
        <v>96.350000000002183</v>
      </c>
    </row>
    <row r="499" spans="1:14" x14ac:dyDescent="0.35">
      <c r="A499" t="s">
        <v>956</v>
      </c>
      <c r="B499" t="s">
        <v>957</v>
      </c>
      <c r="C499" t="s">
        <v>32</v>
      </c>
      <c r="D499">
        <v>24626.6</v>
      </c>
      <c r="E499">
        <v>24654</v>
      </c>
      <c r="F499">
        <v>24571.799999999901</v>
      </c>
      <c r="G499">
        <v>24633.599999999999</v>
      </c>
      <c r="H499" t="s">
        <v>23</v>
      </c>
      <c r="I499">
        <v>27.400000000001398</v>
      </c>
      <c r="J499">
        <v>54.800000000002903</v>
      </c>
      <c r="K499">
        <v>-7</v>
      </c>
      <c r="L499">
        <f>SUM($K$2:K499)</f>
        <v>1658.8499999999774</v>
      </c>
      <c r="M499">
        <f>MAX($L$2:L499)</f>
        <v>1762.1999999999796</v>
      </c>
      <c r="N499">
        <f t="shared" si="7"/>
        <v>103.35000000000218</v>
      </c>
    </row>
    <row r="500" spans="1:14" x14ac:dyDescent="0.35">
      <c r="A500" t="s">
        <v>958</v>
      </c>
      <c r="B500" t="s">
        <v>959</v>
      </c>
      <c r="C500" t="s">
        <v>32</v>
      </c>
      <c r="D500">
        <v>24620.5</v>
      </c>
      <c r="E500">
        <v>24661.85</v>
      </c>
      <c r="F500">
        <v>24537.8</v>
      </c>
      <c r="G500">
        <v>24661.85</v>
      </c>
      <c r="H500" t="s">
        <v>16</v>
      </c>
      <c r="I500">
        <v>41.349999999998502</v>
      </c>
      <c r="J500">
        <v>82.699999999997004</v>
      </c>
      <c r="K500">
        <v>-41.349999999998502</v>
      </c>
      <c r="L500">
        <f>SUM($K$2:K500)</f>
        <v>1617.4999999999789</v>
      </c>
      <c r="M500">
        <f>MAX($L$2:L500)</f>
        <v>1762.1999999999796</v>
      </c>
      <c r="N500">
        <f t="shared" si="7"/>
        <v>144.70000000000073</v>
      </c>
    </row>
    <row r="501" spans="1:14" x14ac:dyDescent="0.35">
      <c r="A501" t="s">
        <v>960</v>
      </c>
      <c r="B501" t="s">
        <v>961</v>
      </c>
      <c r="C501" t="s">
        <v>13</v>
      </c>
      <c r="D501">
        <v>24659.95</v>
      </c>
      <c r="E501">
        <v>24647.1</v>
      </c>
      <c r="F501">
        <v>24685.65</v>
      </c>
      <c r="G501">
        <v>24647.1</v>
      </c>
      <c r="H501" t="s">
        <v>16</v>
      </c>
      <c r="I501">
        <v>12.850000000002099</v>
      </c>
      <c r="J501">
        <v>25.700000000004302</v>
      </c>
      <c r="K501">
        <v>-12.850000000002099</v>
      </c>
      <c r="L501">
        <f>SUM($K$2:K501)</f>
        <v>1604.6499999999767</v>
      </c>
      <c r="M501">
        <f>MAX($L$2:L501)</f>
        <v>1762.1999999999796</v>
      </c>
      <c r="N501">
        <f t="shared" si="7"/>
        <v>157.55000000000291</v>
      </c>
    </row>
    <row r="502" spans="1:14" x14ac:dyDescent="0.35">
      <c r="A502" t="s">
        <v>962</v>
      </c>
      <c r="B502" t="s">
        <v>963</v>
      </c>
      <c r="C502" t="s">
        <v>13</v>
      </c>
      <c r="D502">
        <v>24827.35</v>
      </c>
      <c r="E502">
        <v>24810.45</v>
      </c>
      <c r="F502">
        <v>24861.1499999999</v>
      </c>
      <c r="G502">
        <v>24810.45</v>
      </c>
      <c r="H502" t="s">
        <v>16</v>
      </c>
      <c r="I502">
        <v>16.899999999997799</v>
      </c>
      <c r="J502">
        <v>33.799999999995599</v>
      </c>
      <c r="K502">
        <v>-16.899999999997799</v>
      </c>
      <c r="L502">
        <f>SUM($K$2:K502)</f>
        <v>1587.7499999999789</v>
      </c>
      <c r="M502">
        <f>MAX($L$2:L502)</f>
        <v>1762.1999999999796</v>
      </c>
      <c r="N502">
        <f t="shared" si="7"/>
        <v>174.45000000000073</v>
      </c>
    </row>
    <row r="503" spans="1:14" x14ac:dyDescent="0.35">
      <c r="A503" t="s">
        <v>964</v>
      </c>
      <c r="B503" t="s">
        <v>965</v>
      </c>
      <c r="C503" t="s">
        <v>13</v>
      </c>
      <c r="D503">
        <v>24867.45</v>
      </c>
      <c r="E503">
        <v>24837.9</v>
      </c>
      <c r="F503">
        <v>24926.55</v>
      </c>
      <c r="G503">
        <v>24895</v>
      </c>
      <c r="H503" t="s">
        <v>23</v>
      </c>
      <c r="I503">
        <v>29.549999999999201</v>
      </c>
      <c r="J503">
        <v>59.099999999998502</v>
      </c>
      <c r="K503">
        <v>27.549999999999201</v>
      </c>
      <c r="L503">
        <f>SUM($K$2:K503)</f>
        <v>1615.2999999999781</v>
      </c>
      <c r="M503">
        <f>MAX($L$2:L503)</f>
        <v>1762.1999999999796</v>
      </c>
      <c r="N503">
        <f t="shared" si="7"/>
        <v>146.90000000000146</v>
      </c>
    </row>
    <row r="504" spans="1:14" x14ac:dyDescent="0.35">
      <c r="A504" t="s">
        <v>966</v>
      </c>
      <c r="B504" t="s">
        <v>967</v>
      </c>
      <c r="C504" t="s">
        <v>13</v>
      </c>
      <c r="D504">
        <v>24910.799999999999</v>
      </c>
      <c r="E504">
        <v>24881.65</v>
      </c>
      <c r="F504">
        <v>24969.0999999999</v>
      </c>
      <c r="G504">
        <v>24969.0999999999</v>
      </c>
      <c r="H504" t="s">
        <v>14</v>
      </c>
      <c r="I504">
        <v>29.149999999997799</v>
      </c>
      <c r="J504">
        <v>58.299999999995599</v>
      </c>
      <c r="K504">
        <v>58.299999999995599</v>
      </c>
      <c r="L504">
        <f>SUM($K$2:K504)</f>
        <v>1673.5999999999738</v>
      </c>
      <c r="M504">
        <f>MAX($L$2:L504)</f>
        <v>1762.1999999999796</v>
      </c>
      <c r="N504">
        <f t="shared" si="7"/>
        <v>88.600000000005821</v>
      </c>
    </row>
    <row r="505" spans="1:14" x14ac:dyDescent="0.35">
      <c r="A505" t="s">
        <v>968</v>
      </c>
      <c r="B505" t="s">
        <v>969</v>
      </c>
      <c r="C505" t="s">
        <v>13</v>
      </c>
      <c r="D505">
        <v>24980.3</v>
      </c>
      <c r="E505">
        <v>24960.85</v>
      </c>
      <c r="F505">
        <v>25019.200000000001</v>
      </c>
      <c r="G505">
        <v>25019.200000000001</v>
      </c>
      <c r="H505" t="s">
        <v>14</v>
      </c>
      <c r="I505">
        <v>19.450000000000699</v>
      </c>
      <c r="J505">
        <v>38.900000000001398</v>
      </c>
      <c r="K505">
        <v>38.900000000001398</v>
      </c>
      <c r="L505">
        <f>SUM($K$2:K505)</f>
        <v>1712.4999999999752</v>
      </c>
      <c r="M505">
        <f>MAX($L$2:L505)</f>
        <v>1762.1999999999796</v>
      </c>
      <c r="N505">
        <f t="shared" si="7"/>
        <v>49.700000000004366</v>
      </c>
    </row>
    <row r="506" spans="1:14" x14ac:dyDescent="0.35">
      <c r="A506" t="s">
        <v>970</v>
      </c>
      <c r="B506" t="s">
        <v>971</v>
      </c>
      <c r="C506" t="s">
        <v>13</v>
      </c>
      <c r="D506">
        <v>25038.75</v>
      </c>
      <c r="E506">
        <v>25023.35</v>
      </c>
      <c r="F506">
        <v>25069.55</v>
      </c>
      <c r="G506">
        <v>25069.55</v>
      </c>
      <c r="H506" t="s">
        <v>14</v>
      </c>
      <c r="I506">
        <v>15.4000000000014</v>
      </c>
      <c r="J506">
        <v>30.8000000000029</v>
      </c>
      <c r="K506">
        <v>30.8000000000029</v>
      </c>
      <c r="L506">
        <f>SUM($K$2:K506)</f>
        <v>1743.2999999999781</v>
      </c>
      <c r="M506">
        <f>MAX($L$2:L506)</f>
        <v>1762.1999999999796</v>
      </c>
      <c r="N506">
        <f t="shared" si="7"/>
        <v>18.900000000001455</v>
      </c>
    </row>
    <row r="507" spans="1:14" x14ac:dyDescent="0.35">
      <c r="A507" t="s">
        <v>972</v>
      </c>
      <c r="B507" t="s">
        <v>973</v>
      </c>
      <c r="C507" t="s">
        <v>13</v>
      </c>
      <c r="D507">
        <v>25062.799999999999</v>
      </c>
      <c r="E507">
        <v>25026.15</v>
      </c>
      <c r="F507">
        <v>25136.0999999999</v>
      </c>
      <c r="G507">
        <v>25072.55</v>
      </c>
      <c r="H507" t="s">
        <v>23</v>
      </c>
      <c r="I507">
        <v>36.649999999997803</v>
      </c>
      <c r="J507">
        <v>73.299999999995606</v>
      </c>
      <c r="K507">
        <v>9.75</v>
      </c>
      <c r="L507">
        <f>SUM($K$2:K507)</f>
        <v>1753.0499999999781</v>
      </c>
      <c r="M507">
        <f>MAX($L$2:L507)</f>
        <v>1762.1999999999796</v>
      </c>
      <c r="N507">
        <f t="shared" si="7"/>
        <v>9.1500000000014552</v>
      </c>
    </row>
    <row r="508" spans="1:14" x14ac:dyDescent="0.35">
      <c r="A508" t="s">
        <v>974</v>
      </c>
      <c r="B508" t="s">
        <v>975</v>
      </c>
      <c r="C508" t="s">
        <v>13</v>
      </c>
      <c r="D508">
        <v>25111.15</v>
      </c>
      <c r="E508">
        <v>25076.3</v>
      </c>
      <c r="F508">
        <v>25180.85</v>
      </c>
      <c r="G508">
        <v>25180.85</v>
      </c>
      <c r="H508" t="s">
        <v>14</v>
      </c>
      <c r="I508">
        <v>34.850000000002098</v>
      </c>
      <c r="J508">
        <v>69.700000000004295</v>
      </c>
      <c r="K508">
        <v>69.700000000004295</v>
      </c>
      <c r="L508">
        <f>SUM($K$2:K508)</f>
        <v>1822.7499999999825</v>
      </c>
      <c r="M508">
        <f>MAX($L$2:L508)</f>
        <v>1822.7499999999825</v>
      </c>
      <c r="N508">
        <f t="shared" si="7"/>
        <v>0</v>
      </c>
    </row>
    <row r="509" spans="1:14" x14ac:dyDescent="0.35">
      <c r="A509" t="s">
        <v>976</v>
      </c>
      <c r="B509" t="s">
        <v>977</v>
      </c>
      <c r="C509" t="s">
        <v>13</v>
      </c>
      <c r="D509">
        <v>25183.45</v>
      </c>
      <c r="E509">
        <v>25161.35</v>
      </c>
      <c r="F509">
        <v>25227.65</v>
      </c>
      <c r="G509">
        <v>25161.35</v>
      </c>
      <c r="H509" t="s">
        <v>16</v>
      </c>
      <c r="I509">
        <v>22.100000000002101</v>
      </c>
      <c r="J509">
        <v>44.200000000004302</v>
      </c>
      <c r="K509">
        <v>-22.100000000002101</v>
      </c>
      <c r="L509">
        <f>SUM($K$2:K509)</f>
        <v>1800.6499999999803</v>
      </c>
      <c r="M509">
        <f>MAX($L$2:L509)</f>
        <v>1822.7499999999825</v>
      </c>
      <c r="N509">
        <f t="shared" si="7"/>
        <v>22.100000000002183</v>
      </c>
    </row>
    <row r="510" spans="1:14" x14ac:dyDescent="0.35">
      <c r="A510" t="s">
        <v>978</v>
      </c>
      <c r="B510" t="s">
        <v>979</v>
      </c>
      <c r="C510" t="s">
        <v>32</v>
      </c>
      <c r="D510">
        <v>25114.6</v>
      </c>
      <c r="E510">
        <v>25130.400000000001</v>
      </c>
      <c r="F510">
        <v>25082.999999999902</v>
      </c>
      <c r="G510">
        <v>25130.400000000001</v>
      </c>
      <c r="H510" t="s">
        <v>16</v>
      </c>
      <c r="I510">
        <v>15.8000000000029</v>
      </c>
      <c r="J510">
        <v>31.600000000005799</v>
      </c>
      <c r="K510">
        <v>-15.8000000000029</v>
      </c>
      <c r="L510">
        <f>SUM($K$2:K510)</f>
        <v>1784.8499999999774</v>
      </c>
      <c r="M510">
        <f>MAX($L$2:L510)</f>
        <v>1822.7499999999825</v>
      </c>
      <c r="N510">
        <f t="shared" si="7"/>
        <v>37.900000000005093</v>
      </c>
    </row>
    <row r="511" spans="1:14" x14ac:dyDescent="0.35">
      <c r="A511" t="s">
        <v>980</v>
      </c>
      <c r="B511" t="s">
        <v>981</v>
      </c>
      <c r="C511" t="s">
        <v>13</v>
      </c>
      <c r="D511">
        <v>25165</v>
      </c>
      <c r="E511">
        <v>25153.599999999999</v>
      </c>
      <c r="F511">
        <v>25187.8</v>
      </c>
      <c r="G511">
        <v>25153.599999999999</v>
      </c>
      <c r="H511" t="s">
        <v>16</v>
      </c>
      <c r="I511">
        <v>11.4000000000014</v>
      </c>
      <c r="J511">
        <v>22.8000000000029</v>
      </c>
      <c r="K511">
        <v>-11.4000000000014</v>
      </c>
      <c r="L511">
        <f>SUM($K$2:K511)</f>
        <v>1773.4499999999759</v>
      </c>
      <c r="M511">
        <f>MAX($L$2:L511)</f>
        <v>1822.7499999999825</v>
      </c>
      <c r="N511">
        <f t="shared" si="7"/>
        <v>49.300000000006548</v>
      </c>
    </row>
    <row r="512" spans="1:14" x14ac:dyDescent="0.35">
      <c r="A512" t="s">
        <v>982</v>
      </c>
      <c r="B512" t="s">
        <v>983</v>
      </c>
      <c r="C512" t="s">
        <v>13</v>
      </c>
      <c r="D512">
        <v>25166.9</v>
      </c>
      <c r="E512">
        <v>25151.599999999999</v>
      </c>
      <c r="F512">
        <v>25197.5</v>
      </c>
      <c r="G512">
        <v>25151.599999999999</v>
      </c>
      <c r="H512" t="s">
        <v>16</v>
      </c>
      <c r="I512">
        <v>15.3000000000029</v>
      </c>
      <c r="J512">
        <v>30.600000000005799</v>
      </c>
      <c r="K512">
        <v>-15.3000000000029</v>
      </c>
      <c r="L512">
        <f>SUM($K$2:K512)</f>
        <v>1758.149999999973</v>
      </c>
      <c r="M512">
        <f>MAX($L$2:L512)</f>
        <v>1822.7499999999825</v>
      </c>
      <c r="N512">
        <f t="shared" si="7"/>
        <v>64.600000000009459</v>
      </c>
    </row>
    <row r="513" spans="1:14" x14ac:dyDescent="0.35">
      <c r="A513" t="s">
        <v>984</v>
      </c>
      <c r="B513" t="s">
        <v>985</v>
      </c>
      <c r="C513" t="s">
        <v>32</v>
      </c>
      <c r="D513">
        <v>25048.6</v>
      </c>
      <c r="E513">
        <v>25061.599999999999</v>
      </c>
      <c r="F513">
        <v>25022.6</v>
      </c>
      <c r="G513">
        <v>25061.599999999999</v>
      </c>
      <c r="H513" t="s">
        <v>16</v>
      </c>
      <c r="I513">
        <v>13</v>
      </c>
      <c r="J513">
        <v>26</v>
      </c>
      <c r="K513">
        <v>-13</v>
      </c>
      <c r="L513">
        <f>SUM($K$2:K513)</f>
        <v>1745.149999999973</v>
      </c>
      <c r="M513">
        <f>MAX($L$2:L513)</f>
        <v>1822.7499999999825</v>
      </c>
      <c r="N513">
        <f t="shared" si="7"/>
        <v>77.600000000009459</v>
      </c>
    </row>
    <row r="514" spans="1:14" x14ac:dyDescent="0.35">
      <c r="A514" t="s">
        <v>986</v>
      </c>
      <c r="B514" t="s">
        <v>987</v>
      </c>
      <c r="C514" t="s">
        <v>13</v>
      </c>
      <c r="D514">
        <v>25102.55</v>
      </c>
      <c r="E514">
        <v>25084.25</v>
      </c>
      <c r="F514">
        <v>25139.1499999999</v>
      </c>
      <c r="G514">
        <v>25139.1499999999</v>
      </c>
      <c r="H514" t="s">
        <v>14</v>
      </c>
      <c r="I514">
        <v>18.299999999999201</v>
      </c>
      <c r="J514">
        <v>36.599999999998502</v>
      </c>
      <c r="K514">
        <v>36.599999999998502</v>
      </c>
      <c r="L514">
        <f>SUM($K$2:K514)</f>
        <v>1781.7499999999716</v>
      </c>
      <c r="M514">
        <f>MAX($L$2:L514)</f>
        <v>1822.7499999999825</v>
      </c>
      <c r="N514">
        <f t="shared" ref="N514:N577" si="8">M514-L514</f>
        <v>41.000000000010914</v>
      </c>
    </row>
    <row r="515" spans="1:14" x14ac:dyDescent="0.35">
      <c r="A515" t="s">
        <v>988</v>
      </c>
      <c r="B515" t="s">
        <v>989</v>
      </c>
      <c r="C515" t="s">
        <v>13</v>
      </c>
      <c r="D515">
        <v>25158.9</v>
      </c>
      <c r="E515">
        <v>25144</v>
      </c>
      <c r="F515">
        <v>25188.7</v>
      </c>
      <c r="G515">
        <v>25144</v>
      </c>
      <c r="H515" t="s">
        <v>16</v>
      </c>
      <c r="I515">
        <v>14.9000000000014</v>
      </c>
      <c r="J515">
        <v>29.8000000000029</v>
      </c>
      <c r="K515">
        <v>-14.9000000000014</v>
      </c>
      <c r="L515">
        <f>SUM($K$2:K515)</f>
        <v>1766.8499999999701</v>
      </c>
      <c r="M515">
        <f>MAX($L$2:L515)</f>
        <v>1822.7499999999825</v>
      </c>
      <c r="N515">
        <f t="shared" si="8"/>
        <v>55.900000000012369</v>
      </c>
    </row>
    <row r="516" spans="1:14" x14ac:dyDescent="0.35">
      <c r="A516" t="s">
        <v>990</v>
      </c>
      <c r="B516" t="s">
        <v>991</v>
      </c>
      <c r="C516" t="s">
        <v>13</v>
      </c>
      <c r="D516">
        <v>25221.200000000001</v>
      </c>
      <c r="E516">
        <v>25156.85</v>
      </c>
      <c r="F516">
        <v>25349.9</v>
      </c>
      <c r="G516">
        <v>25278.2</v>
      </c>
      <c r="H516" t="s">
        <v>23</v>
      </c>
      <c r="I516">
        <v>64.350000000002098</v>
      </c>
      <c r="J516">
        <v>128.700000000004</v>
      </c>
      <c r="K516">
        <v>57</v>
      </c>
      <c r="L516">
        <f>SUM($K$2:K516)</f>
        <v>1823.8499999999701</v>
      </c>
      <c r="M516">
        <f>MAX($L$2:L516)</f>
        <v>1823.8499999999701</v>
      </c>
      <c r="N516">
        <f t="shared" si="8"/>
        <v>0</v>
      </c>
    </row>
    <row r="517" spans="1:14" x14ac:dyDescent="0.35">
      <c r="A517" t="s">
        <v>992</v>
      </c>
      <c r="B517" t="s">
        <v>993</v>
      </c>
      <c r="C517" t="s">
        <v>32</v>
      </c>
      <c r="D517">
        <v>25202.400000000001</v>
      </c>
      <c r="E517">
        <v>25229.75</v>
      </c>
      <c r="F517">
        <v>25147.7</v>
      </c>
      <c r="G517">
        <v>25229.75</v>
      </c>
      <c r="H517" t="s">
        <v>16</v>
      </c>
      <c r="I517">
        <v>27.349999999998499</v>
      </c>
      <c r="J517">
        <v>54.699999999996997</v>
      </c>
      <c r="K517">
        <v>-27.349999999998499</v>
      </c>
      <c r="L517">
        <f>SUM($K$2:K517)</f>
        <v>1796.4999999999716</v>
      </c>
      <c r="M517">
        <f>MAX($L$2:L517)</f>
        <v>1823.8499999999701</v>
      </c>
      <c r="N517">
        <f t="shared" si="8"/>
        <v>27.349999999998545</v>
      </c>
    </row>
    <row r="518" spans="1:14" x14ac:dyDescent="0.35">
      <c r="A518" t="s">
        <v>993</v>
      </c>
      <c r="B518" t="s">
        <v>994</v>
      </c>
      <c r="C518" t="s">
        <v>13</v>
      </c>
      <c r="D518">
        <v>25229.05</v>
      </c>
      <c r="E518">
        <v>25195.55</v>
      </c>
      <c r="F518">
        <v>25296.05</v>
      </c>
      <c r="G518">
        <v>25237.15</v>
      </c>
      <c r="H518" t="s">
        <v>23</v>
      </c>
      <c r="I518">
        <v>33.5</v>
      </c>
      <c r="J518">
        <v>67</v>
      </c>
      <c r="K518">
        <v>8.1000000000021792</v>
      </c>
      <c r="L518">
        <f>SUM($K$2:K518)</f>
        <v>1804.5999999999738</v>
      </c>
      <c r="M518">
        <f>MAX($L$2:L518)</f>
        <v>1823.8499999999701</v>
      </c>
      <c r="N518">
        <f t="shared" si="8"/>
        <v>19.249999999996362</v>
      </c>
    </row>
    <row r="519" spans="1:14" x14ac:dyDescent="0.35">
      <c r="A519" t="s">
        <v>995</v>
      </c>
      <c r="B519" t="s">
        <v>996</v>
      </c>
      <c r="C519" t="s">
        <v>32</v>
      </c>
      <c r="D519">
        <v>25173.15</v>
      </c>
      <c r="E519">
        <v>25200.9</v>
      </c>
      <c r="F519">
        <v>25117.65</v>
      </c>
      <c r="G519">
        <v>25117.65</v>
      </c>
      <c r="H519" t="s">
        <v>14</v>
      </c>
      <c r="I519">
        <v>27.75</v>
      </c>
      <c r="J519">
        <v>55.5</v>
      </c>
      <c r="K519">
        <v>55.5</v>
      </c>
      <c r="L519">
        <f>SUM($K$2:K519)</f>
        <v>1860.0999999999738</v>
      </c>
      <c r="M519">
        <f>MAX($L$2:L519)</f>
        <v>1860.0999999999738</v>
      </c>
      <c r="N519">
        <f t="shared" si="8"/>
        <v>0</v>
      </c>
    </row>
    <row r="520" spans="1:14" x14ac:dyDescent="0.35">
      <c r="A520" t="s">
        <v>997</v>
      </c>
      <c r="B520" t="s">
        <v>998</v>
      </c>
      <c r="C520" t="s">
        <v>32</v>
      </c>
      <c r="D520">
        <v>25090.35</v>
      </c>
      <c r="E520">
        <v>25125.200000000001</v>
      </c>
      <c r="F520">
        <v>25020.6499999999</v>
      </c>
      <c r="G520">
        <v>25125.200000000001</v>
      </c>
      <c r="H520" t="s">
        <v>16</v>
      </c>
      <c r="I520">
        <v>34.850000000002098</v>
      </c>
      <c r="J520">
        <v>69.700000000004295</v>
      </c>
      <c r="K520">
        <v>-34.850000000002098</v>
      </c>
      <c r="L520">
        <f>SUM($K$2:K520)</f>
        <v>1825.2499999999716</v>
      </c>
      <c r="M520">
        <f>MAX($L$2:L520)</f>
        <v>1860.0999999999738</v>
      </c>
      <c r="N520">
        <f t="shared" si="8"/>
        <v>34.850000000002183</v>
      </c>
    </row>
    <row r="521" spans="1:14" x14ac:dyDescent="0.35">
      <c r="A521" t="s">
        <v>999</v>
      </c>
      <c r="B521" t="s">
        <v>1000</v>
      </c>
      <c r="C521" t="s">
        <v>13</v>
      </c>
      <c r="D521">
        <v>25149.1</v>
      </c>
      <c r="E521">
        <v>25103.05</v>
      </c>
      <c r="F521">
        <v>25241.199999999899</v>
      </c>
      <c r="G521">
        <v>25123.35</v>
      </c>
      <c r="H521" t="s">
        <v>23</v>
      </c>
      <c r="I521">
        <v>46.049999999999201</v>
      </c>
      <c r="J521">
        <v>92.099999999998502</v>
      </c>
      <c r="K521">
        <v>-25.75</v>
      </c>
      <c r="L521">
        <f>SUM($K$2:K521)</f>
        <v>1799.4999999999716</v>
      </c>
      <c r="M521">
        <f>MAX($L$2:L521)</f>
        <v>1860.0999999999738</v>
      </c>
      <c r="N521">
        <f t="shared" si="8"/>
        <v>60.600000000002183</v>
      </c>
    </row>
    <row r="522" spans="1:14" x14ac:dyDescent="0.35">
      <c r="A522" t="s">
        <v>1001</v>
      </c>
      <c r="B522" t="s">
        <v>1002</v>
      </c>
      <c r="C522" t="s">
        <v>13</v>
      </c>
      <c r="D522">
        <v>25239.95</v>
      </c>
      <c r="E522">
        <v>25159.35</v>
      </c>
      <c r="F522">
        <v>25401.15</v>
      </c>
      <c r="G522">
        <v>25327.75</v>
      </c>
      <c r="H522" t="s">
        <v>23</v>
      </c>
      <c r="I522">
        <v>80.600000000002098</v>
      </c>
      <c r="J522">
        <v>161.200000000004</v>
      </c>
      <c r="K522">
        <v>87.799999999999201</v>
      </c>
      <c r="L522">
        <f>SUM($K$2:K522)</f>
        <v>1887.2999999999709</v>
      </c>
      <c r="M522">
        <f>MAX($L$2:L522)</f>
        <v>1887.2999999999709</v>
      </c>
      <c r="N522">
        <f t="shared" si="8"/>
        <v>0</v>
      </c>
    </row>
    <row r="523" spans="1:14" x14ac:dyDescent="0.35">
      <c r="A523" t="s">
        <v>1003</v>
      </c>
      <c r="B523" t="s">
        <v>1004</v>
      </c>
      <c r="C523" t="s">
        <v>13</v>
      </c>
      <c r="D523">
        <v>25436.9</v>
      </c>
      <c r="E523">
        <v>25417.55</v>
      </c>
      <c r="F523">
        <v>25475.599999999999</v>
      </c>
      <c r="G523">
        <v>25475.599999999999</v>
      </c>
      <c r="H523" t="s">
        <v>14</v>
      </c>
      <c r="I523">
        <v>19.350000000002101</v>
      </c>
      <c r="J523">
        <v>38.700000000004302</v>
      </c>
      <c r="K523">
        <v>38.700000000004302</v>
      </c>
      <c r="L523">
        <f>SUM($K$2:K523)</f>
        <v>1925.9999999999752</v>
      </c>
      <c r="M523">
        <f>MAX($L$2:L523)</f>
        <v>1925.9999999999752</v>
      </c>
      <c r="N523">
        <f t="shared" si="8"/>
        <v>0</v>
      </c>
    </row>
    <row r="524" spans="1:14" x14ac:dyDescent="0.35">
      <c r="A524" t="s">
        <v>1005</v>
      </c>
      <c r="B524" t="s">
        <v>1006</v>
      </c>
      <c r="C524" t="s">
        <v>13</v>
      </c>
      <c r="D524">
        <v>25490.45</v>
      </c>
      <c r="E524">
        <v>25474.75</v>
      </c>
      <c r="F524">
        <v>25521.85</v>
      </c>
      <c r="G524">
        <v>25521.85</v>
      </c>
      <c r="H524" t="s">
        <v>14</v>
      </c>
      <c r="I524">
        <v>15.700000000000699</v>
      </c>
      <c r="J524">
        <v>31.400000000001398</v>
      </c>
      <c r="K524">
        <v>31.400000000001398</v>
      </c>
      <c r="L524">
        <f>SUM($K$2:K524)</f>
        <v>1957.3999999999767</v>
      </c>
      <c r="M524">
        <f>MAX($L$2:L524)</f>
        <v>1957.3999999999767</v>
      </c>
      <c r="N524">
        <f t="shared" si="8"/>
        <v>0</v>
      </c>
    </row>
    <row r="525" spans="1:14" x14ac:dyDescent="0.35">
      <c r="A525" t="s">
        <v>1006</v>
      </c>
      <c r="B525" t="s">
        <v>1007</v>
      </c>
      <c r="C525" t="s">
        <v>13</v>
      </c>
      <c r="D525">
        <v>25515.7</v>
      </c>
      <c r="E525">
        <v>25499.4</v>
      </c>
      <c r="F525">
        <v>25548.3</v>
      </c>
      <c r="G525">
        <v>25548.3</v>
      </c>
      <c r="H525" t="s">
        <v>14</v>
      </c>
      <c r="I525">
        <v>16.299999999999201</v>
      </c>
      <c r="J525">
        <v>32.599999999998502</v>
      </c>
      <c r="K525">
        <v>32.599999999998502</v>
      </c>
      <c r="L525">
        <f>SUM($K$2:K525)</f>
        <v>1989.9999999999752</v>
      </c>
      <c r="M525">
        <f>MAX($L$2:L525)</f>
        <v>1989.9999999999752</v>
      </c>
      <c r="N525">
        <f t="shared" si="8"/>
        <v>0</v>
      </c>
    </row>
    <row r="526" spans="1:14" x14ac:dyDescent="0.35">
      <c r="A526" t="s">
        <v>1007</v>
      </c>
      <c r="B526" t="s">
        <v>1008</v>
      </c>
      <c r="C526" t="s">
        <v>13</v>
      </c>
      <c r="D526">
        <v>25553.85</v>
      </c>
      <c r="E526">
        <v>25538.400000000001</v>
      </c>
      <c r="F526">
        <v>25584.749999999902</v>
      </c>
      <c r="G526">
        <v>25584.749999999902</v>
      </c>
      <c r="H526" t="s">
        <v>14</v>
      </c>
      <c r="I526">
        <v>15.449999999997001</v>
      </c>
      <c r="J526">
        <v>30.899999999994101</v>
      </c>
      <c r="K526">
        <v>30.899999999994101</v>
      </c>
      <c r="L526">
        <f>SUM($K$2:K526)</f>
        <v>2020.8999999999694</v>
      </c>
      <c r="M526">
        <f>MAX($L$2:L526)</f>
        <v>2020.8999999999694</v>
      </c>
      <c r="N526">
        <f t="shared" si="8"/>
        <v>0</v>
      </c>
    </row>
    <row r="527" spans="1:14" x14ac:dyDescent="0.35">
      <c r="A527" t="s">
        <v>1008</v>
      </c>
      <c r="B527" t="s">
        <v>1009</v>
      </c>
      <c r="C527" t="s">
        <v>13</v>
      </c>
      <c r="D527">
        <v>25589</v>
      </c>
      <c r="E527">
        <v>25557.599999999999</v>
      </c>
      <c r="F527">
        <v>25651.8</v>
      </c>
      <c r="G527">
        <v>25566.3</v>
      </c>
      <c r="H527" t="s">
        <v>23</v>
      </c>
      <c r="I527">
        <v>31.400000000001398</v>
      </c>
      <c r="J527">
        <v>62.800000000002903</v>
      </c>
      <c r="K527">
        <v>-22.700000000000699</v>
      </c>
      <c r="L527">
        <f>SUM($K$2:K527)</f>
        <v>1998.1999999999687</v>
      </c>
      <c r="M527">
        <f>MAX($L$2:L527)</f>
        <v>2020.8999999999694</v>
      </c>
      <c r="N527">
        <f t="shared" si="8"/>
        <v>22.700000000000728</v>
      </c>
    </row>
    <row r="528" spans="1:14" x14ac:dyDescent="0.35">
      <c r="A528" t="s">
        <v>1010</v>
      </c>
      <c r="B528" t="s">
        <v>1011</v>
      </c>
      <c r="C528" t="s">
        <v>13</v>
      </c>
      <c r="D528">
        <v>25593.45</v>
      </c>
      <c r="E528">
        <v>25562.55</v>
      </c>
      <c r="F528">
        <v>25655.25</v>
      </c>
      <c r="G528">
        <v>25655.25</v>
      </c>
      <c r="H528" t="s">
        <v>14</v>
      </c>
      <c r="I528">
        <v>30.900000000001398</v>
      </c>
      <c r="J528">
        <v>61.800000000002903</v>
      </c>
      <c r="K528">
        <v>61.800000000002903</v>
      </c>
      <c r="L528">
        <f>SUM($K$2:K528)</f>
        <v>2059.9999999999714</v>
      </c>
      <c r="M528">
        <f>MAX($L$2:L528)</f>
        <v>2059.9999999999714</v>
      </c>
      <c r="N528">
        <f t="shared" si="8"/>
        <v>0</v>
      </c>
    </row>
    <row r="529" spans="1:14" x14ac:dyDescent="0.35">
      <c r="A529" t="s">
        <v>1012</v>
      </c>
      <c r="B529" t="s">
        <v>1013</v>
      </c>
      <c r="C529" t="s">
        <v>13</v>
      </c>
      <c r="D529">
        <v>25753.5</v>
      </c>
      <c r="E529">
        <v>25728.5</v>
      </c>
      <c r="F529">
        <v>25803.5</v>
      </c>
      <c r="G529">
        <v>25728.5</v>
      </c>
      <c r="H529" t="s">
        <v>16</v>
      </c>
      <c r="I529">
        <v>25</v>
      </c>
      <c r="J529">
        <v>50</v>
      </c>
      <c r="K529">
        <v>-25</v>
      </c>
      <c r="L529">
        <f>SUM($K$2:K529)</f>
        <v>2034.9999999999714</v>
      </c>
      <c r="M529">
        <f>MAX($L$2:L529)</f>
        <v>2059.9999999999714</v>
      </c>
      <c r="N529">
        <f t="shared" si="8"/>
        <v>25</v>
      </c>
    </row>
    <row r="530" spans="1:14" x14ac:dyDescent="0.35">
      <c r="A530" t="s">
        <v>1014</v>
      </c>
      <c r="B530" t="s">
        <v>1015</v>
      </c>
      <c r="C530" t="s">
        <v>13</v>
      </c>
      <c r="D530">
        <v>25754.85</v>
      </c>
      <c r="E530">
        <v>25730.5</v>
      </c>
      <c r="F530">
        <v>25803.549999999901</v>
      </c>
      <c r="G530">
        <v>25730.5</v>
      </c>
      <c r="H530" t="s">
        <v>16</v>
      </c>
      <c r="I530">
        <v>24.349999999998499</v>
      </c>
      <c r="J530">
        <v>48.699999999996997</v>
      </c>
      <c r="K530">
        <v>-24.349999999998499</v>
      </c>
      <c r="L530">
        <f>SUM($K$2:K530)</f>
        <v>2010.6499999999728</v>
      </c>
      <c r="M530">
        <f>MAX($L$2:L530)</f>
        <v>2059.9999999999714</v>
      </c>
      <c r="N530">
        <f t="shared" si="8"/>
        <v>49.349999999998545</v>
      </c>
    </row>
    <row r="531" spans="1:14" x14ac:dyDescent="0.35">
      <c r="A531" t="s">
        <v>1016</v>
      </c>
      <c r="B531" t="s">
        <v>1017</v>
      </c>
      <c r="C531" t="s">
        <v>13</v>
      </c>
      <c r="D531">
        <v>25834.15</v>
      </c>
      <c r="E531">
        <v>25795.9</v>
      </c>
      <c r="F531">
        <v>25910.65</v>
      </c>
      <c r="G531">
        <v>25850.7</v>
      </c>
      <c r="H531" t="s">
        <v>23</v>
      </c>
      <c r="I531">
        <v>38.25</v>
      </c>
      <c r="J531">
        <v>76.5</v>
      </c>
      <c r="K531">
        <v>16.549999999999201</v>
      </c>
      <c r="L531">
        <f>SUM($K$2:K531)</f>
        <v>2027.1999999999721</v>
      </c>
      <c r="M531">
        <f>MAX($L$2:L531)</f>
        <v>2059.9999999999714</v>
      </c>
      <c r="N531">
        <f t="shared" si="8"/>
        <v>32.799999999999272</v>
      </c>
    </row>
    <row r="532" spans="1:14" x14ac:dyDescent="0.35">
      <c r="A532" t="s">
        <v>1018</v>
      </c>
      <c r="B532" t="s">
        <v>1019</v>
      </c>
      <c r="C532" t="s">
        <v>13</v>
      </c>
      <c r="D532">
        <v>26080.55</v>
      </c>
      <c r="E532">
        <v>26058.9</v>
      </c>
      <c r="F532">
        <v>26123.8499999999</v>
      </c>
      <c r="G532">
        <v>26058.9</v>
      </c>
      <c r="H532" t="s">
        <v>16</v>
      </c>
      <c r="I532">
        <v>21.649999999997799</v>
      </c>
      <c r="J532">
        <v>43.299999999995599</v>
      </c>
      <c r="K532">
        <v>-21.649999999997799</v>
      </c>
      <c r="L532">
        <f>SUM($K$2:K532)</f>
        <v>2005.5499999999743</v>
      </c>
      <c r="M532">
        <f>MAX($L$2:L532)</f>
        <v>2059.9999999999714</v>
      </c>
      <c r="N532">
        <f t="shared" si="8"/>
        <v>54.44999999999709</v>
      </c>
    </row>
    <row r="533" spans="1:14" x14ac:dyDescent="0.35">
      <c r="A533" t="s">
        <v>1020</v>
      </c>
      <c r="B533" t="s">
        <v>1021</v>
      </c>
      <c r="C533" t="s">
        <v>13</v>
      </c>
      <c r="D533">
        <v>26084.7</v>
      </c>
      <c r="E533">
        <v>26069.25</v>
      </c>
      <c r="F533">
        <v>26115.599999999999</v>
      </c>
      <c r="G533">
        <v>26069.25</v>
      </c>
      <c r="H533" t="s">
        <v>16</v>
      </c>
      <c r="I533">
        <v>15.450000000000699</v>
      </c>
      <c r="J533">
        <v>30.900000000001398</v>
      </c>
      <c r="K533">
        <v>-15.450000000000699</v>
      </c>
      <c r="L533">
        <f>SUM($K$2:K533)</f>
        <v>1990.0999999999735</v>
      </c>
      <c r="M533">
        <f>MAX($L$2:L533)</f>
        <v>2059.9999999999714</v>
      </c>
      <c r="N533">
        <f t="shared" si="8"/>
        <v>69.899999999997817</v>
      </c>
    </row>
    <row r="534" spans="1:14" x14ac:dyDescent="0.35">
      <c r="A534" t="s">
        <v>1022</v>
      </c>
      <c r="B534" t="s">
        <v>1023</v>
      </c>
      <c r="C534" t="s">
        <v>32</v>
      </c>
      <c r="D534">
        <v>25850.799999999999</v>
      </c>
      <c r="E534">
        <v>25944.15</v>
      </c>
      <c r="F534">
        <v>25664.0999999999</v>
      </c>
      <c r="G534">
        <v>25797.45</v>
      </c>
      <c r="H534" t="s">
        <v>23</v>
      </c>
      <c r="I534">
        <v>93.350000000002098</v>
      </c>
      <c r="J534">
        <v>186.700000000004</v>
      </c>
      <c r="K534">
        <v>53.349999999998502</v>
      </c>
      <c r="L534">
        <f>SUM($K$2:K534)</f>
        <v>2043.4499999999721</v>
      </c>
      <c r="M534">
        <f>MAX($L$2:L534)</f>
        <v>2059.9999999999714</v>
      </c>
      <c r="N534">
        <f t="shared" si="8"/>
        <v>16.549999999999272</v>
      </c>
    </row>
    <row r="535" spans="1:14" x14ac:dyDescent="0.35">
      <c r="A535" t="s">
        <v>1024</v>
      </c>
      <c r="B535" t="s">
        <v>1025</v>
      </c>
      <c r="C535" t="s">
        <v>13</v>
      </c>
      <c r="D535">
        <v>25966.45</v>
      </c>
      <c r="E535">
        <v>25952.15</v>
      </c>
      <c r="F535">
        <v>25995.05</v>
      </c>
      <c r="G535">
        <v>25952.15</v>
      </c>
      <c r="H535" t="s">
        <v>16</v>
      </c>
      <c r="I535">
        <v>14.2999999999992</v>
      </c>
      <c r="J535">
        <v>28.599999999998499</v>
      </c>
      <c r="K535">
        <v>-14.2999999999992</v>
      </c>
      <c r="L535">
        <f>SUM($K$2:K535)</f>
        <v>2029.1499999999728</v>
      </c>
      <c r="M535">
        <f>MAX($L$2:L535)</f>
        <v>2059.9999999999714</v>
      </c>
      <c r="N535">
        <f t="shared" si="8"/>
        <v>30.849999999998545</v>
      </c>
    </row>
    <row r="536" spans="1:14" x14ac:dyDescent="0.35">
      <c r="A536" t="s">
        <v>1026</v>
      </c>
      <c r="B536" t="s">
        <v>1027</v>
      </c>
      <c r="C536" t="s">
        <v>13</v>
      </c>
      <c r="D536">
        <v>25996</v>
      </c>
      <c r="E536">
        <v>25971.3</v>
      </c>
      <c r="F536">
        <v>26045.4</v>
      </c>
      <c r="G536">
        <v>25971.3</v>
      </c>
      <c r="H536" t="s">
        <v>16</v>
      </c>
      <c r="I536">
        <v>24.700000000000699</v>
      </c>
      <c r="J536">
        <v>49.400000000001398</v>
      </c>
      <c r="K536">
        <v>-24.700000000000699</v>
      </c>
      <c r="L536">
        <f>SUM($K$2:K536)</f>
        <v>2004.4499999999721</v>
      </c>
      <c r="M536">
        <f>MAX($L$2:L536)</f>
        <v>2059.9999999999714</v>
      </c>
      <c r="N536">
        <f t="shared" si="8"/>
        <v>55.549999999999272</v>
      </c>
    </row>
    <row r="537" spans="1:14" x14ac:dyDescent="0.35">
      <c r="A537" t="s">
        <v>1028</v>
      </c>
      <c r="B537" t="s">
        <v>1029</v>
      </c>
      <c r="C537" t="s">
        <v>13</v>
      </c>
      <c r="D537">
        <v>25968.1</v>
      </c>
      <c r="E537">
        <v>25929.65</v>
      </c>
      <c r="F537">
        <v>26044.999999999902</v>
      </c>
      <c r="G537">
        <v>25929.65</v>
      </c>
      <c r="H537" t="s">
        <v>16</v>
      </c>
      <c r="I537">
        <v>38.449999999996997</v>
      </c>
      <c r="J537">
        <v>76.899999999994094</v>
      </c>
      <c r="K537">
        <v>-38.449999999996997</v>
      </c>
      <c r="L537">
        <f>SUM($K$2:K537)</f>
        <v>1965.999999999975</v>
      </c>
      <c r="M537">
        <f>MAX($L$2:L537)</f>
        <v>2059.9999999999714</v>
      </c>
      <c r="N537">
        <f t="shared" si="8"/>
        <v>93.999999999996362</v>
      </c>
    </row>
    <row r="538" spans="1:14" x14ac:dyDescent="0.35">
      <c r="A538" t="s">
        <v>1030</v>
      </c>
      <c r="B538" t="s">
        <v>1031</v>
      </c>
      <c r="C538" t="s">
        <v>13</v>
      </c>
      <c r="D538">
        <v>25940.85</v>
      </c>
      <c r="E538">
        <v>25910.7</v>
      </c>
      <c r="F538">
        <v>26001.1499999999</v>
      </c>
      <c r="G538">
        <v>25910.7</v>
      </c>
      <c r="H538" t="s">
        <v>16</v>
      </c>
      <c r="I538">
        <v>30.149999999997799</v>
      </c>
      <c r="J538">
        <v>60.299999999995599</v>
      </c>
      <c r="K538">
        <v>-30.149999999997799</v>
      </c>
      <c r="L538">
        <f>SUM($K$2:K538)</f>
        <v>1935.8499999999772</v>
      </c>
      <c r="M538">
        <f>MAX($L$2:L538)</f>
        <v>2059.9999999999714</v>
      </c>
      <c r="N538">
        <f t="shared" si="8"/>
        <v>124.14999999999418</v>
      </c>
    </row>
    <row r="539" spans="1:14" x14ac:dyDescent="0.35">
      <c r="A539" t="s">
        <v>1032</v>
      </c>
      <c r="B539" t="s">
        <v>1033</v>
      </c>
      <c r="C539" t="s">
        <v>13</v>
      </c>
      <c r="D539">
        <v>25988.2</v>
      </c>
      <c r="E539">
        <v>25966</v>
      </c>
      <c r="F539">
        <v>26032.6</v>
      </c>
      <c r="G539">
        <v>26032.6</v>
      </c>
      <c r="H539" t="s">
        <v>14</v>
      </c>
      <c r="I539">
        <v>22.200000000000699</v>
      </c>
      <c r="J539">
        <v>44.400000000001398</v>
      </c>
      <c r="K539">
        <v>44.400000000001398</v>
      </c>
      <c r="L539">
        <f>SUM($K$2:K539)</f>
        <v>1980.2499999999786</v>
      </c>
      <c r="M539">
        <f>MAX($L$2:L539)</f>
        <v>2059.9999999999714</v>
      </c>
      <c r="N539">
        <f t="shared" si="8"/>
        <v>79.749999999992724</v>
      </c>
    </row>
    <row r="540" spans="1:14" x14ac:dyDescent="0.35">
      <c r="A540" t="s">
        <v>1034</v>
      </c>
      <c r="B540" t="s">
        <v>1035</v>
      </c>
      <c r="C540" t="s">
        <v>13</v>
      </c>
      <c r="D540">
        <v>26041.4</v>
      </c>
      <c r="E540">
        <v>26022.55</v>
      </c>
      <c r="F540">
        <v>26079.1</v>
      </c>
      <c r="G540">
        <v>26022.55</v>
      </c>
      <c r="H540" t="s">
        <v>16</v>
      </c>
      <c r="I540">
        <v>18.850000000002101</v>
      </c>
      <c r="J540">
        <v>37.700000000004302</v>
      </c>
      <c r="K540">
        <v>-18.850000000002101</v>
      </c>
      <c r="L540">
        <f>SUM($K$2:K540)</f>
        <v>1961.3999999999764</v>
      </c>
      <c r="M540">
        <f>MAX($L$2:L540)</f>
        <v>2059.9999999999714</v>
      </c>
      <c r="N540">
        <f t="shared" si="8"/>
        <v>98.599999999994907</v>
      </c>
    </row>
    <row r="541" spans="1:14" x14ac:dyDescent="0.35">
      <c r="A541" t="s">
        <v>1036</v>
      </c>
      <c r="B541" t="s">
        <v>1037</v>
      </c>
      <c r="C541" t="s">
        <v>13</v>
      </c>
      <c r="D541">
        <v>26035.55</v>
      </c>
      <c r="E541">
        <v>26011.1</v>
      </c>
      <c r="F541">
        <v>26084.45</v>
      </c>
      <c r="G541">
        <v>26084.45</v>
      </c>
      <c r="H541" t="s">
        <v>14</v>
      </c>
      <c r="I541">
        <v>24.450000000000699</v>
      </c>
      <c r="J541">
        <v>48.900000000001398</v>
      </c>
      <c r="K541">
        <v>48.900000000001398</v>
      </c>
      <c r="L541">
        <f>SUM($K$2:K541)</f>
        <v>2010.2999999999779</v>
      </c>
      <c r="M541">
        <f>MAX($L$2:L541)</f>
        <v>2059.9999999999714</v>
      </c>
      <c r="N541">
        <f t="shared" si="8"/>
        <v>49.699999999993452</v>
      </c>
    </row>
    <row r="542" spans="1:14" x14ac:dyDescent="0.35">
      <c r="A542" t="s">
        <v>1038</v>
      </c>
      <c r="B542" t="s">
        <v>1039</v>
      </c>
      <c r="C542" t="s">
        <v>13</v>
      </c>
      <c r="D542">
        <v>26089.7</v>
      </c>
      <c r="E542">
        <v>26064.3</v>
      </c>
      <c r="F542">
        <v>26140.5</v>
      </c>
      <c r="G542">
        <v>26064.3</v>
      </c>
      <c r="H542" t="s">
        <v>16</v>
      </c>
      <c r="I542">
        <v>25.400000000001398</v>
      </c>
      <c r="J542">
        <v>50.800000000002903</v>
      </c>
      <c r="K542">
        <v>-25.400000000001398</v>
      </c>
      <c r="L542">
        <f>SUM($K$2:K542)</f>
        <v>1984.8999999999764</v>
      </c>
      <c r="M542">
        <f>MAX($L$2:L542)</f>
        <v>2059.9999999999714</v>
      </c>
      <c r="N542">
        <f t="shared" si="8"/>
        <v>75.099999999994907</v>
      </c>
    </row>
    <row r="543" spans="1:14" x14ac:dyDescent="0.35">
      <c r="A543" t="s">
        <v>1040</v>
      </c>
      <c r="B543" t="s">
        <v>1041</v>
      </c>
      <c r="C543" t="s">
        <v>32</v>
      </c>
      <c r="D543">
        <v>25938.05</v>
      </c>
      <c r="E543">
        <v>25955</v>
      </c>
      <c r="F543">
        <v>25904.1499999999</v>
      </c>
      <c r="G543">
        <v>25955</v>
      </c>
      <c r="H543" t="s">
        <v>16</v>
      </c>
      <c r="I543">
        <v>16.950000000000699</v>
      </c>
      <c r="J543">
        <v>33.900000000001398</v>
      </c>
      <c r="K543">
        <v>-16.950000000000699</v>
      </c>
      <c r="L543">
        <f>SUM($K$2:K543)</f>
        <v>1967.9499999999757</v>
      </c>
      <c r="M543">
        <f>MAX($L$2:L543)</f>
        <v>2059.9999999999714</v>
      </c>
      <c r="N543">
        <f t="shared" si="8"/>
        <v>92.049999999995634</v>
      </c>
    </row>
    <row r="544" spans="1:14" x14ac:dyDescent="0.35">
      <c r="A544" t="s">
        <v>1042</v>
      </c>
      <c r="B544" t="s">
        <v>1043</v>
      </c>
      <c r="C544" t="s">
        <v>32</v>
      </c>
      <c r="D544">
        <v>25909.35</v>
      </c>
      <c r="E544">
        <v>25940.400000000001</v>
      </c>
      <c r="F544">
        <v>25847.249999999902</v>
      </c>
      <c r="G544">
        <v>25847.249999999902</v>
      </c>
      <c r="H544" t="s">
        <v>14</v>
      </c>
      <c r="I544">
        <v>31.0500000000029</v>
      </c>
      <c r="J544">
        <v>62.100000000005799</v>
      </c>
      <c r="K544">
        <v>62.100000000005799</v>
      </c>
      <c r="L544">
        <f>SUM($K$2:K544)</f>
        <v>2030.0499999999815</v>
      </c>
      <c r="M544">
        <f>MAX($L$2:L544)</f>
        <v>2059.9999999999714</v>
      </c>
      <c r="N544">
        <f t="shared" si="8"/>
        <v>29.949999999989814</v>
      </c>
    </row>
    <row r="545" spans="1:14" x14ac:dyDescent="0.35">
      <c r="A545" t="s">
        <v>1044</v>
      </c>
      <c r="B545" t="s">
        <v>1045</v>
      </c>
      <c r="C545" t="s">
        <v>32</v>
      </c>
      <c r="D545">
        <v>25762.6</v>
      </c>
      <c r="E545">
        <v>25782.95</v>
      </c>
      <c r="F545">
        <v>25721.8999999999</v>
      </c>
      <c r="G545">
        <v>25782.95</v>
      </c>
      <c r="H545" t="s">
        <v>16</v>
      </c>
      <c r="I545">
        <v>20.350000000002101</v>
      </c>
      <c r="J545">
        <v>40.700000000004302</v>
      </c>
      <c r="K545">
        <v>-20.350000000002101</v>
      </c>
      <c r="L545">
        <f>SUM($K$2:K545)</f>
        <v>2009.6999999999794</v>
      </c>
      <c r="M545">
        <f>MAX($L$2:L545)</f>
        <v>2059.9999999999714</v>
      </c>
      <c r="N545">
        <f t="shared" si="8"/>
        <v>50.299999999991996</v>
      </c>
    </row>
    <row r="546" spans="1:14" x14ac:dyDescent="0.35">
      <c r="A546" t="s">
        <v>1046</v>
      </c>
      <c r="B546" t="s">
        <v>1047</v>
      </c>
      <c r="C546" t="s">
        <v>32</v>
      </c>
      <c r="D546">
        <v>25764.45</v>
      </c>
      <c r="E546">
        <v>25777.25</v>
      </c>
      <c r="F546">
        <v>25738.85</v>
      </c>
      <c r="G546">
        <v>25777.25</v>
      </c>
      <c r="H546" t="s">
        <v>16</v>
      </c>
      <c r="I546">
        <v>12.7999999999992</v>
      </c>
      <c r="J546">
        <v>25.599999999998499</v>
      </c>
      <c r="K546">
        <v>-12.7999999999992</v>
      </c>
      <c r="L546">
        <f>SUM($K$2:K546)</f>
        <v>1996.8999999999801</v>
      </c>
      <c r="M546">
        <f>MAX($L$2:L546)</f>
        <v>2059.9999999999714</v>
      </c>
      <c r="N546">
        <f t="shared" si="8"/>
        <v>63.099999999991269</v>
      </c>
    </row>
    <row r="547" spans="1:14" x14ac:dyDescent="0.35">
      <c r="A547" t="s">
        <v>1048</v>
      </c>
      <c r="B547" t="s">
        <v>1049</v>
      </c>
      <c r="C547" t="s">
        <v>32</v>
      </c>
      <c r="D547">
        <v>25711.8</v>
      </c>
      <c r="E547">
        <v>25726</v>
      </c>
      <c r="F547">
        <v>25683.3999999999</v>
      </c>
      <c r="G547">
        <v>25726</v>
      </c>
      <c r="H547" t="s">
        <v>16</v>
      </c>
      <c r="I547">
        <v>14.200000000000699</v>
      </c>
      <c r="J547">
        <v>28.400000000001398</v>
      </c>
      <c r="K547">
        <v>-14.200000000000699</v>
      </c>
      <c r="L547">
        <f>SUM($K$2:K547)</f>
        <v>1982.6999999999794</v>
      </c>
      <c r="M547">
        <f>MAX($L$2:L547)</f>
        <v>2059.9999999999714</v>
      </c>
      <c r="N547">
        <f t="shared" si="8"/>
        <v>77.299999999991996</v>
      </c>
    </row>
    <row r="548" spans="1:14" x14ac:dyDescent="0.35">
      <c r="A548" t="s">
        <v>1050</v>
      </c>
      <c r="B548" t="s">
        <v>1051</v>
      </c>
      <c r="C548" t="s">
        <v>13</v>
      </c>
      <c r="D548">
        <v>25756.55</v>
      </c>
      <c r="E548">
        <v>25737.55</v>
      </c>
      <c r="F548">
        <v>25794.55</v>
      </c>
      <c r="G548">
        <v>25737.55</v>
      </c>
      <c r="H548" t="s">
        <v>16</v>
      </c>
      <c r="I548">
        <v>19</v>
      </c>
      <c r="J548">
        <v>38</v>
      </c>
      <c r="K548">
        <v>-19</v>
      </c>
      <c r="L548">
        <f>SUM($K$2:K548)</f>
        <v>1963.6999999999794</v>
      </c>
      <c r="M548">
        <f>MAX($L$2:L548)</f>
        <v>2059.9999999999714</v>
      </c>
      <c r="N548">
        <f t="shared" si="8"/>
        <v>96.299999999991996</v>
      </c>
    </row>
    <row r="549" spans="1:14" x14ac:dyDescent="0.35">
      <c r="A549" t="s">
        <v>1052</v>
      </c>
      <c r="B549" t="s">
        <v>1053</v>
      </c>
      <c r="C549" t="s">
        <v>32</v>
      </c>
      <c r="D549">
        <v>25730.55</v>
      </c>
      <c r="E549">
        <v>25754.1</v>
      </c>
      <c r="F549">
        <v>25683.45</v>
      </c>
      <c r="G549">
        <v>25683.45</v>
      </c>
      <c r="H549" t="s">
        <v>14</v>
      </c>
      <c r="I549">
        <v>23.549999999999201</v>
      </c>
      <c r="J549">
        <v>47.099999999998502</v>
      </c>
      <c r="K549">
        <v>47.099999999998502</v>
      </c>
      <c r="L549">
        <f>SUM($K$2:K549)</f>
        <v>2010.7999999999779</v>
      </c>
      <c r="M549">
        <f>MAX($L$2:L549)</f>
        <v>2059.9999999999714</v>
      </c>
      <c r="N549">
        <f t="shared" si="8"/>
        <v>49.199999999993452</v>
      </c>
    </row>
    <row r="550" spans="1:14" x14ac:dyDescent="0.35">
      <c r="A550" t="s">
        <v>1054</v>
      </c>
      <c r="B550" t="s">
        <v>1055</v>
      </c>
      <c r="C550" t="s">
        <v>32</v>
      </c>
      <c r="D550">
        <v>25696.65</v>
      </c>
      <c r="E550">
        <v>25720.55</v>
      </c>
      <c r="F550">
        <v>25648.85</v>
      </c>
      <c r="G550">
        <v>25648.85</v>
      </c>
      <c r="H550" t="s">
        <v>14</v>
      </c>
      <c r="I550">
        <v>23.899999999997799</v>
      </c>
      <c r="J550">
        <v>47.799999999995599</v>
      </c>
      <c r="K550">
        <v>47.799999999995599</v>
      </c>
      <c r="L550">
        <f>SUM($K$2:K550)</f>
        <v>2058.5999999999735</v>
      </c>
      <c r="M550">
        <f>MAX($L$2:L550)</f>
        <v>2059.9999999999714</v>
      </c>
      <c r="N550">
        <f t="shared" si="8"/>
        <v>1.3999999999978172</v>
      </c>
    </row>
    <row r="551" spans="1:14" x14ac:dyDescent="0.35">
      <c r="A551" t="s">
        <v>1056</v>
      </c>
      <c r="B551" t="s">
        <v>1057</v>
      </c>
      <c r="C551" t="s">
        <v>32</v>
      </c>
      <c r="D551">
        <v>25659.55</v>
      </c>
      <c r="E551">
        <v>25675.4</v>
      </c>
      <c r="F551">
        <v>25627.8499999999</v>
      </c>
      <c r="G551">
        <v>25675.4</v>
      </c>
      <c r="H551" t="s">
        <v>16</v>
      </c>
      <c r="I551">
        <v>15.850000000002099</v>
      </c>
      <c r="J551">
        <v>31.700000000004302</v>
      </c>
      <c r="K551">
        <v>-15.850000000002099</v>
      </c>
      <c r="L551">
        <f>SUM($K$2:K551)</f>
        <v>2042.7499999999714</v>
      </c>
      <c r="M551">
        <f>MAX($L$2:L551)</f>
        <v>2059.9999999999714</v>
      </c>
      <c r="N551">
        <f t="shared" si="8"/>
        <v>17.25</v>
      </c>
    </row>
    <row r="552" spans="1:14" x14ac:dyDescent="0.35">
      <c r="A552" t="s">
        <v>1058</v>
      </c>
      <c r="B552" t="s">
        <v>1059</v>
      </c>
      <c r="C552" t="s">
        <v>32</v>
      </c>
      <c r="D552">
        <v>25646</v>
      </c>
      <c r="E552">
        <v>25657.9</v>
      </c>
      <c r="F552">
        <v>25622.199999999899</v>
      </c>
      <c r="G552">
        <v>25622.199999999899</v>
      </c>
      <c r="H552" t="s">
        <v>14</v>
      </c>
      <c r="I552">
        <v>11.9000000000014</v>
      </c>
      <c r="J552">
        <v>23.8000000000029</v>
      </c>
      <c r="K552">
        <v>23.8000000000029</v>
      </c>
      <c r="L552">
        <f>SUM($K$2:K552)</f>
        <v>2066.5499999999743</v>
      </c>
      <c r="M552">
        <f>MAX($L$2:L552)</f>
        <v>2066.5499999999743</v>
      </c>
      <c r="N552">
        <f t="shared" si="8"/>
        <v>0</v>
      </c>
    </row>
    <row r="553" spans="1:14" x14ac:dyDescent="0.35">
      <c r="A553" t="s">
        <v>1059</v>
      </c>
      <c r="B553" t="s">
        <v>1060</v>
      </c>
      <c r="C553" t="s">
        <v>32</v>
      </c>
      <c r="D553">
        <v>25617.05</v>
      </c>
      <c r="E553">
        <v>25646.1</v>
      </c>
      <c r="F553">
        <v>25558.95</v>
      </c>
      <c r="G553">
        <v>25586.25</v>
      </c>
      <c r="H553" t="s">
        <v>23</v>
      </c>
      <c r="I553">
        <v>29.049999999999201</v>
      </c>
      <c r="J553">
        <v>58.099999999998502</v>
      </c>
      <c r="K553">
        <v>30.799999999999201</v>
      </c>
      <c r="L553">
        <f>SUM($K$2:K553)</f>
        <v>2097.3499999999735</v>
      </c>
      <c r="M553">
        <f>MAX($L$2:L553)</f>
        <v>2097.3499999999735</v>
      </c>
      <c r="N553">
        <f t="shared" si="8"/>
        <v>0</v>
      </c>
    </row>
    <row r="554" spans="1:14" x14ac:dyDescent="0.35">
      <c r="A554" t="s">
        <v>1061</v>
      </c>
      <c r="B554" t="s">
        <v>1062</v>
      </c>
      <c r="C554" t="s">
        <v>32</v>
      </c>
      <c r="D554">
        <v>25570.6</v>
      </c>
      <c r="E554">
        <v>25617.200000000001</v>
      </c>
      <c r="F554">
        <v>25477.3999999999</v>
      </c>
      <c r="G554">
        <v>25519.95</v>
      </c>
      <c r="H554" t="s">
        <v>23</v>
      </c>
      <c r="I554">
        <v>46.600000000002098</v>
      </c>
      <c r="J554">
        <v>93.200000000004295</v>
      </c>
      <c r="K554">
        <v>50.649999999997803</v>
      </c>
      <c r="L554">
        <f>SUM($K$2:K554)</f>
        <v>2147.9999999999714</v>
      </c>
      <c r="M554">
        <f>MAX($L$2:L554)</f>
        <v>2147.9999999999714</v>
      </c>
      <c r="N554">
        <f t="shared" si="8"/>
        <v>0</v>
      </c>
    </row>
    <row r="555" spans="1:14" x14ac:dyDescent="0.35">
      <c r="A555" t="s">
        <v>1063</v>
      </c>
      <c r="B555" t="s">
        <v>1064</v>
      </c>
      <c r="C555" t="s">
        <v>13</v>
      </c>
      <c r="D555">
        <v>25449.55</v>
      </c>
      <c r="E555">
        <v>25429.05</v>
      </c>
      <c r="F555">
        <v>25490.55</v>
      </c>
      <c r="G555">
        <v>25490.55</v>
      </c>
      <c r="H555" t="s">
        <v>14</v>
      </c>
      <c r="I555">
        <v>20.5</v>
      </c>
      <c r="J555">
        <v>41</v>
      </c>
      <c r="K555">
        <v>41</v>
      </c>
      <c r="L555">
        <f>SUM($K$2:K555)</f>
        <v>2188.9999999999714</v>
      </c>
      <c r="M555">
        <f>MAX($L$2:L555)</f>
        <v>2188.9999999999714</v>
      </c>
      <c r="N555">
        <f t="shared" si="8"/>
        <v>0</v>
      </c>
    </row>
    <row r="556" spans="1:14" x14ac:dyDescent="0.35">
      <c r="A556" t="s">
        <v>1065</v>
      </c>
      <c r="B556" t="s">
        <v>1066</v>
      </c>
      <c r="C556" t="s">
        <v>13</v>
      </c>
      <c r="D556">
        <v>25491.5</v>
      </c>
      <c r="E556">
        <v>25472.55</v>
      </c>
      <c r="F556">
        <v>25529.4</v>
      </c>
      <c r="G556">
        <v>25529.4</v>
      </c>
      <c r="H556" t="s">
        <v>14</v>
      </c>
      <c r="I556">
        <v>18.950000000000699</v>
      </c>
      <c r="J556">
        <v>37.900000000001398</v>
      </c>
      <c r="K556">
        <v>37.900000000001398</v>
      </c>
      <c r="L556">
        <f>SUM($K$2:K556)</f>
        <v>2226.8999999999728</v>
      </c>
      <c r="M556">
        <f>MAX($L$2:L556)</f>
        <v>2226.8999999999728</v>
      </c>
      <c r="N556">
        <f t="shared" si="8"/>
        <v>0</v>
      </c>
    </row>
    <row r="557" spans="1:14" x14ac:dyDescent="0.35">
      <c r="A557" t="s">
        <v>1066</v>
      </c>
      <c r="B557" t="s">
        <v>1067</v>
      </c>
      <c r="C557" t="s">
        <v>13</v>
      </c>
      <c r="D557">
        <v>25531.8</v>
      </c>
      <c r="E557">
        <v>25488.6</v>
      </c>
      <c r="F557">
        <v>25618.2</v>
      </c>
      <c r="G557">
        <v>25488.6</v>
      </c>
      <c r="H557" t="s">
        <v>16</v>
      </c>
      <c r="I557">
        <v>43.200000000000699</v>
      </c>
      <c r="J557">
        <v>86.400000000001398</v>
      </c>
      <c r="K557">
        <v>-43.200000000000699</v>
      </c>
      <c r="L557">
        <f>SUM($K$2:K557)</f>
        <v>2183.6999999999721</v>
      </c>
      <c r="M557">
        <f>MAX($L$2:L557)</f>
        <v>2226.8999999999728</v>
      </c>
      <c r="N557">
        <f t="shared" si="8"/>
        <v>43.200000000000728</v>
      </c>
    </row>
    <row r="558" spans="1:14" x14ac:dyDescent="0.35">
      <c r="A558" t="s">
        <v>1068</v>
      </c>
      <c r="B558" t="s">
        <v>1069</v>
      </c>
      <c r="C558" t="s">
        <v>13</v>
      </c>
      <c r="D558">
        <v>25539.25</v>
      </c>
      <c r="E558">
        <v>25515.3</v>
      </c>
      <c r="F558">
        <v>25587.15</v>
      </c>
      <c r="G558">
        <v>25587.15</v>
      </c>
      <c r="H558" t="s">
        <v>14</v>
      </c>
      <c r="I558">
        <v>23.950000000000699</v>
      </c>
      <c r="J558">
        <v>47.900000000001398</v>
      </c>
      <c r="K558">
        <v>47.900000000001398</v>
      </c>
      <c r="L558">
        <f>SUM($K$2:K558)</f>
        <v>2231.5999999999735</v>
      </c>
      <c r="M558">
        <f>MAX($L$2:L558)</f>
        <v>2231.5999999999735</v>
      </c>
      <c r="N558">
        <f t="shared" si="8"/>
        <v>0</v>
      </c>
    </row>
    <row r="559" spans="1:14" x14ac:dyDescent="0.35">
      <c r="A559" t="s">
        <v>1070</v>
      </c>
      <c r="B559" t="s">
        <v>1071</v>
      </c>
      <c r="C559" t="s">
        <v>13</v>
      </c>
      <c r="D559">
        <v>25566.35</v>
      </c>
      <c r="E559">
        <v>25552.3</v>
      </c>
      <c r="F559">
        <v>25594.449999999899</v>
      </c>
      <c r="G559">
        <v>25594.449999999899</v>
      </c>
      <c r="H559" t="s">
        <v>14</v>
      </c>
      <c r="I559">
        <v>14.0499999999992</v>
      </c>
      <c r="J559">
        <v>28.099999999998499</v>
      </c>
      <c r="K559">
        <v>28.099999999998499</v>
      </c>
      <c r="L559">
        <f>SUM($K$2:K559)</f>
        <v>2259.6999999999721</v>
      </c>
      <c r="M559">
        <f>MAX($L$2:L559)</f>
        <v>2259.6999999999721</v>
      </c>
      <c r="N559">
        <f t="shared" si="8"/>
        <v>0</v>
      </c>
    </row>
    <row r="560" spans="1:14" x14ac:dyDescent="0.35">
      <c r="A560" t="s">
        <v>1072</v>
      </c>
      <c r="B560" t="s">
        <v>1073</v>
      </c>
      <c r="C560" t="s">
        <v>13</v>
      </c>
      <c r="D560">
        <v>25626.2</v>
      </c>
      <c r="E560">
        <v>25610.25</v>
      </c>
      <c r="F560">
        <v>25658.1</v>
      </c>
      <c r="G560">
        <v>25610.25</v>
      </c>
      <c r="H560" t="s">
        <v>16</v>
      </c>
      <c r="I560">
        <v>15.950000000000699</v>
      </c>
      <c r="J560">
        <v>31.900000000001398</v>
      </c>
      <c r="K560">
        <v>-15.950000000000699</v>
      </c>
      <c r="L560">
        <f>SUM($K$2:K560)</f>
        <v>2243.7499999999714</v>
      </c>
      <c r="M560">
        <f>MAX($L$2:L560)</f>
        <v>2259.6999999999721</v>
      </c>
      <c r="N560">
        <f t="shared" si="8"/>
        <v>15.950000000000728</v>
      </c>
    </row>
    <row r="561" spans="1:14" x14ac:dyDescent="0.35">
      <c r="A561" t="s">
        <v>1074</v>
      </c>
      <c r="B561" t="s">
        <v>1075</v>
      </c>
      <c r="C561" t="s">
        <v>32</v>
      </c>
      <c r="D561">
        <v>25544.799999999999</v>
      </c>
      <c r="E561">
        <v>25637.599999999999</v>
      </c>
      <c r="F561">
        <v>25359.200000000001</v>
      </c>
      <c r="G561">
        <v>25637.599999999999</v>
      </c>
      <c r="H561" t="s">
        <v>16</v>
      </c>
      <c r="I561">
        <v>92.799999999999201</v>
      </c>
      <c r="J561">
        <v>185.599999999998</v>
      </c>
      <c r="K561">
        <v>-92.799999999999201</v>
      </c>
      <c r="L561">
        <f>SUM($K$2:K561)</f>
        <v>2150.9499999999721</v>
      </c>
      <c r="M561">
        <f>MAX($L$2:L561)</f>
        <v>2259.6999999999721</v>
      </c>
      <c r="N561">
        <f t="shared" si="8"/>
        <v>108.75</v>
      </c>
    </row>
    <row r="562" spans="1:14" x14ac:dyDescent="0.35">
      <c r="A562" t="s">
        <v>1076</v>
      </c>
      <c r="B562" t="s">
        <v>1077</v>
      </c>
      <c r="C562" t="s">
        <v>13</v>
      </c>
      <c r="D562">
        <v>25679.5</v>
      </c>
      <c r="E562">
        <v>25645.15</v>
      </c>
      <c r="F562">
        <v>25748.199999999899</v>
      </c>
      <c r="G562">
        <v>25705.55</v>
      </c>
      <c r="H562" t="s">
        <v>23</v>
      </c>
      <c r="I562">
        <v>34.349999999998502</v>
      </c>
      <c r="J562">
        <v>68.699999999997004</v>
      </c>
      <c r="K562">
        <v>26.049999999999201</v>
      </c>
      <c r="L562">
        <f>SUM($K$2:K562)</f>
        <v>2176.9999999999714</v>
      </c>
      <c r="M562">
        <f>MAX($L$2:L562)</f>
        <v>2259.6999999999721</v>
      </c>
      <c r="N562">
        <f t="shared" si="8"/>
        <v>82.700000000000728</v>
      </c>
    </row>
    <row r="563" spans="1:14" x14ac:dyDescent="0.35">
      <c r="A563" t="s">
        <v>1078</v>
      </c>
      <c r="B563" t="s">
        <v>1079</v>
      </c>
      <c r="C563" t="s">
        <v>13</v>
      </c>
      <c r="D563">
        <v>25860</v>
      </c>
      <c r="E563">
        <v>25835.45</v>
      </c>
      <c r="F563">
        <v>25909.1</v>
      </c>
      <c r="G563">
        <v>25909.1</v>
      </c>
      <c r="H563" t="s">
        <v>14</v>
      </c>
      <c r="I563">
        <v>24.549999999999201</v>
      </c>
      <c r="J563">
        <v>49.099999999998502</v>
      </c>
      <c r="K563">
        <v>49.099999999998502</v>
      </c>
      <c r="L563">
        <f>SUM($K$2:K563)</f>
        <v>2226.0999999999699</v>
      </c>
      <c r="M563">
        <f>MAX($L$2:L563)</f>
        <v>2259.6999999999721</v>
      </c>
      <c r="N563">
        <f t="shared" si="8"/>
        <v>33.600000000002183</v>
      </c>
    </row>
    <row r="564" spans="1:14" x14ac:dyDescent="0.35">
      <c r="A564" t="s">
        <v>1079</v>
      </c>
      <c r="B564" t="s">
        <v>1080</v>
      </c>
      <c r="C564" t="s">
        <v>13</v>
      </c>
      <c r="D564">
        <v>25916.7</v>
      </c>
      <c r="E564">
        <v>25902.05</v>
      </c>
      <c r="F564">
        <v>25946</v>
      </c>
      <c r="G564">
        <v>25902.05</v>
      </c>
      <c r="H564" t="s">
        <v>16</v>
      </c>
      <c r="I564">
        <v>14.6500000000014</v>
      </c>
      <c r="J564">
        <v>29.3000000000029</v>
      </c>
      <c r="K564">
        <v>-14.6500000000014</v>
      </c>
      <c r="L564">
        <f>SUM($K$2:K564)</f>
        <v>2211.4499999999684</v>
      </c>
      <c r="M564">
        <f>MAX($L$2:L564)</f>
        <v>2259.6999999999721</v>
      </c>
      <c r="N564">
        <f t="shared" si="8"/>
        <v>48.250000000003638</v>
      </c>
    </row>
    <row r="565" spans="1:14" x14ac:dyDescent="0.35">
      <c r="A565" t="s">
        <v>1081</v>
      </c>
      <c r="B565" t="s">
        <v>1082</v>
      </c>
      <c r="C565" t="s">
        <v>13</v>
      </c>
      <c r="D565">
        <v>25915.7</v>
      </c>
      <c r="E565">
        <v>25900.2</v>
      </c>
      <c r="F565">
        <v>25946.7</v>
      </c>
      <c r="G565">
        <v>25900.2</v>
      </c>
      <c r="H565" t="s">
        <v>16</v>
      </c>
      <c r="I565">
        <v>15.5</v>
      </c>
      <c r="J565">
        <v>31</v>
      </c>
      <c r="K565">
        <v>-15.5</v>
      </c>
      <c r="L565">
        <f>SUM($K$2:K565)</f>
        <v>2195.9499999999684</v>
      </c>
      <c r="M565">
        <f>MAX($L$2:L565)</f>
        <v>2259.6999999999721</v>
      </c>
      <c r="N565">
        <f t="shared" si="8"/>
        <v>63.750000000003638</v>
      </c>
    </row>
    <row r="566" spans="1:14" x14ac:dyDescent="0.35">
      <c r="A566" t="s">
        <v>1083</v>
      </c>
      <c r="B566" t="s">
        <v>1084</v>
      </c>
      <c r="C566" t="s">
        <v>32</v>
      </c>
      <c r="D566">
        <v>25843.95</v>
      </c>
      <c r="E566">
        <v>25906.799999999999</v>
      </c>
      <c r="F566">
        <v>25718.25</v>
      </c>
      <c r="G566">
        <v>25906.799999999999</v>
      </c>
      <c r="H566" t="s">
        <v>16</v>
      </c>
      <c r="I566">
        <v>62.849999999998502</v>
      </c>
      <c r="J566">
        <v>125.699999999997</v>
      </c>
      <c r="K566">
        <v>-62.849999999998502</v>
      </c>
      <c r="L566">
        <f>SUM($K$2:K566)</f>
        <v>2133.0999999999699</v>
      </c>
      <c r="M566">
        <f>MAX($L$2:L566)</f>
        <v>2259.6999999999721</v>
      </c>
      <c r="N566">
        <f t="shared" si="8"/>
        <v>126.60000000000218</v>
      </c>
    </row>
    <row r="567" spans="1:14" x14ac:dyDescent="0.35">
      <c r="A567" t="s">
        <v>1085</v>
      </c>
      <c r="B567" t="s">
        <v>1086</v>
      </c>
      <c r="C567" t="s">
        <v>13</v>
      </c>
      <c r="D567">
        <v>25913.200000000001</v>
      </c>
      <c r="E567">
        <v>25892.45</v>
      </c>
      <c r="F567">
        <v>25954.7</v>
      </c>
      <c r="G567">
        <v>25954.7</v>
      </c>
      <c r="H567" t="s">
        <v>14</v>
      </c>
      <c r="I567">
        <v>20.75</v>
      </c>
      <c r="J567">
        <v>41.5</v>
      </c>
      <c r="K567">
        <v>41.5</v>
      </c>
      <c r="L567">
        <f>SUM($K$2:K567)</f>
        <v>2174.5999999999699</v>
      </c>
      <c r="M567">
        <f>MAX($L$2:L567)</f>
        <v>2259.6999999999721</v>
      </c>
      <c r="N567">
        <f t="shared" si="8"/>
        <v>85.100000000002183</v>
      </c>
    </row>
    <row r="568" spans="1:14" x14ac:dyDescent="0.35">
      <c r="A568" t="s">
        <v>1087</v>
      </c>
      <c r="B568" t="s">
        <v>1088</v>
      </c>
      <c r="C568" t="s">
        <v>13</v>
      </c>
      <c r="D568">
        <v>25971.7</v>
      </c>
      <c r="E568">
        <v>25958.05</v>
      </c>
      <c r="F568">
        <v>25999</v>
      </c>
      <c r="G568">
        <v>25958.05</v>
      </c>
      <c r="H568" t="s">
        <v>16</v>
      </c>
      <c r="I568">
        <v>13.6500000000014</v>
      </c>
      <c r="J568">
        <v>27.3000000000029</v>
      </c>
      <c r="K568">
        <v>-13.6500000000014</v>
      </c>
      <c r="L568">
        <f>SUM($K$2:K568)</f>
        <v>2160.9499999999684</v>
      </c>
      <c r="M568">
        <f>MAX($L$2:L568)</f>
        <v>2259.6999999999721</v>
      </c>
      <c r="N568">
        <f t="shared" si="8"/>
        <v>98.750000000003638</v>
      </c>
    </row>
    <row r="569" spans="1:14" x14ac:dyDescent="0.35">
      <c r="A569" t="s">
        <v>1089</v>
      </c>
      <c r="B569" t="s">
        <v>1090</v>
      </c>
      <c r="C569" t="s">
        <v>32</v>
      </c>
      <c r="D569">
        <v>25840.400000000001</v>
      </c>
      <c r="E569">
        <v>25879.15</v>
      </c>
      <c r="F569">
        <v>25762.9</v>
      </c>
      <c r="G569">
        <v>25762.9</v>
      </c>
      <c r="H569" t="s">
        <v>14</v>
      </c>
      <c r="I569">
        <v>38.75</v>
      </c>
      <c r="J569">
        <v>77.5</v>
      </c>
      <c r="K569">
        <v>77.5</v>
      </c>
      <c r="L569">
        <f>SUM($K$2:K569)</f>
        <v>2238.4499999999684</v>
      </c>
      <c r="M569">
        <f>MAX($L$2:L569)</f>
        <v>2259.6999999999721</v>
      </c>
      <c r="N569">
        <f t="shared" si="8"/>
        <v>21.250000000003638</v>
      </c>
    </row>
    <row r="570" spans="1:14" x14ac:dyDescent="0.35">
      <c r="A570" t="s">
        <v>1091</v>
      </c>
      <c r="B570" t="s">
        <v>1092</v>
      </c>
      <c r="C570" t="s">
        <v>32</v>
      </c>
      <c r="D570">
        <v>25789.95</v>
      </c>
      <c r="E570">
        <v>25805.9</v>
      </c>
      <c r="F570">
        <v>25758.05</v>
      </c>
      <c r="G570">
        <v>25805.9</v>
      </c>
      <c r="H570" t="s">
        <v>16</v>
      </c>
      <c r="I570">
        <v>15.950000000000699</v>
      </c>
      <c r="J570">
        <v>31.900000000001398</v>
      </c>
      <c r="K570">
        <v>-15.950000000000699</v>
      </c>
      <c r="L570">
        <f>SUM($K$2:K570)</f>
        <v>2222.4999999999677</v>
      </c>
      <c r="M570">
        <f>MAX($L$2:L570)</f>
        <v>2259.6999999999721</v>
      </c>
      <c r="N570">
        <f t="shared" si="8"/>
        <v>37.200000000004366</v>
      </c>
    </row>
    <row r="571" spans="1:14" x14ac:dyDescent="0.35">
      <c r="A571" t="s">
        <v>1093</v>
      </c>
      <c r="B571" t="s">
        <v>1094</v>
      </c>
      <c r="C571" t="s">
        <v>32</v>
      </c>
      <c r="D571">
        <v>25789.45</v>
      </c>
      <c r="E571">
        <v>25800</v>
      </c>
      <c r="F571">
        <v>25768.35</v>
      </c>
      <c r="G571">
        <v>25800</v>
      </c>
      <c r="H571" t="s">
        <v>16</v>
      </c>
      <c r="I571">
        <v>10.5499999999992</v>
      </c>
      <c r="J571">
        <v>21.099999999998499</v>
      </c>
      <c r="K571">
        <v>-10.5499999999992</v>
      </c>
      <c r="L571">
        <f>SUM($K$2:K571)</f>
        <v>2211.9499999999684</v>
      </c>
      <c r="M571">
        <f>MAX($L$2:L571)</f>
        <v>2259.6999999999721</v>
      </c>
      <c r="N571">
        <f t="shared" si="8"/>
        <v>47.750000000003638</v>
      </c>
    </row>
    <row r="572" spans="1:14" x14ac:dyDescent="0.35">
      <c r="A572" t="s">
        <v>1095</v>
      </c>
      <c r="B572" t="s">
        <v>1096</v>
      </c>
      <c r="C572" t="s">
        <v>13</v>
      </c>
      <c r="D572">
        <v>25963.9</v>
      </c>
      <c r="E572">
        <v>25947.599999999999</v>
      </c>
      <c r="F572">
        <v>25996.5</v>
      </c>
      <c r="G572">
        <v>25947.599999999999</v>
      </c>
      <c r="H572" t="s">
        <v>16</v>
      </c>
      <c r="I572">
        <v>16.3000000000029</v>
      </c>
      <c r="J572">
        <v>32.600000000005799</v>
      </c>
      <c r="K572">
        <v>-16.3000000000029</v>
      </c>
      <c r="L572">
        <f>SUM($K$2:K572)</f>
        <v>2195.6499999999655</v>
      </c>
      <c r="M572">
        <f>MAX($L$2:L572)</f>
        <v>2259.6999999999721</v>
      </c>
      <c r="N572">
        <f t="shared" si="8"/>
        <v>64.050000000006548</v>
      </c>
    </row>
    <row r="573" spans="1:14" x14ac:dyDescent="0.35">
      <c r="A573" t="s">
        <v>1097</v>
      </c>
      <c r="B573" t="s">
        <v>1098</v>
      </c>
      <c r="C573" t="s">
        <v>13</v>
      </c>
      <c r="D573">
        <v>25969.4</v>
      </c>
      <c r="E573">
        <v>25949.25</v>
      </c>
      <c r="F573">
        <v>26009.7</v>
      </c>
      <c r="G573">
        <v>26009.7</v>
      </c>
      <c r="H573" t="s">
        <v>14</v>
      </c>
      <c r="I573">
        <v>20.150000000001398</v>
      </c>
      <c r="J573">
        <v>40.300000000002903</v>
      </c>
      <c r="K573">
        <v>40.300000000002903</v>
      </c>
      <c r="L573">
        <f>SUM($K$2:K573)</f>
        <v>2235.9499999999684</v>
      </c>
      <c r="M573">
        <f>MAX($L$2:L573)</f>
        <v>2259.6999999999721</v>
      </c>
      <c r="N573">
        <f t="shared" si="8"/>
        <v>23.750000000003638</v>
      </c>
    </row>
    <row r="574" spans="1:14" x14ac:dyDescent="0.35">
      <c r="A574" t="s">
        <v>1098</v>
      </c>
      <c r="B574" t="s">
        <v>1099</v>
      </c>
      <c r="C574" t="s">
        <v>13</v>
      </c>
      <c r="D574">
        <v>26018.25</v>
      </c>
      <c r="E574">
        <v>25997.1</v>
      </c>
      <c r="F574">
        <v>26060.55</v>
      </c>
      <c r="G574">
        <v>25997.1</v>
      </c>
      <c r="H574" t="s">
        <v>16</v>
      </c>
      <c r="I574">
        <v>21.150000000001398</v>
      </c>
      <c r="J574">
        <v>42.300000000002903</v>
      </c>
      <c r="K574">
        <v>-21.150000000001398</v>
      </c>
      <c r="L574">
        <f>SUM($K$2:K574)</f>
        <v>2214.799999999967</v>
      </c>
      <c r="M574">
        <f>MAX($L$2:L574)</f>
        <v>2259.6999999999721</v>
      </c>
      <c r="N574">
        <f t="shared" si="8"/>
        <v>44.900000000005093</v>
      </c>
    </row>
    <row r="575" spans="1:14" x14ac:dyDescent="0.35">
      <c r="A575" t="s">
        <v>1100</v>
      </c>
      <c r="B575" t="s">
        <v>1101</v>
      </c>
      <c r="C575" t="s">
        <v>32</v>
      </c>
      <c r="D575">
        <v>25927.200000000001</v>
      </c>
      <c r="E575">
        <v>25959.05</v>
      </c>
      <c r="F575">
        <v>25863.5</v>
      </c>
      <c r="G575">
        <v>25959.05</v>
      </c>
      <c r="H575" t="s">
        <v>16</v>
      </c>
      <c r="I575">
        <v>31.849999999998499</v>
      </c>
      <c r="J575">
        <v>63.699999999996997</v>
      </c>
      <c r="K575">
        <v>-31.849999999998499</v>
      </c>
      <c r="L575">
        <f>SUM($K$2:K575)</f>
        <v>2182.9499999999684</v>
      </c>
      <c r="M575">
        <f>MAX($L$2:L575)</f>
        <v>2259.6999999999721</v>
      </c>
      <c r="N575">
        <f t="shared" si="8"/>
        <v>76.750000000003638</v>
      </c>
    </row>
    <row r="576" spans="1:14" x14ac:dyDescent="0.35">
      <c r="A576" t="s">
        <v>1102</v>
      </c>
      <c r="B576" t="s">
        <v>1103</v>
      </c>
      <c r="C576" t="s">
        <v>13</v>
      </c>
      <c r="D576">
        <v>25967.35</v>
      </c>
      <c r="E576">
        <v>25952.95</v>
      </c>
      <c r="F576">
        <v>25996.1499999999</v>
      </c>
      <c r="G576">
        <v>25996.1499999999</v>
      </c>
      <c r="H576" t="s">
        <v>14</v>
      </c>
      <c r="I576">
        <v>14.399999999997799</v>
      </c>
      <c r="J576">
        <v>28.799999999995599</v>
      </c>
      <c r="K576">
        <v>28.799999999995599</v>
      </c>
      <c r="L576">
        <f>SUM($K$2:K576)</f>
        <v>2211.7499999999641</v>
      </c>
      <c r="M576">
        <f>MAX($L$2:L576)</f>
        <v>2259.6999999999721</v>
      </c>
      <c r="N576">
        <f t="shared" si="8"/>
        <v>47.950000000008004</v>
      </c>
    </row>
    <row r="577" spans="1:14" x14ac:dyDescent="0.35">
      <c r="A577" t="s">
        <v>1104</v>
      </c>
      <c r="B577" t="s">
        <v>1105</v>
      </c>
      <c r="C577" t="s">
        <v>13</v>
      </c>
      <c r="D577">
        <v>25988.7</v>
      </c>
      <c r="E577">
        <v>25971.599999999999</v>
      </c>
      <c r="F577">
        <v>26022.9</v>
      </c>
      <c r="G577">
        <v>25971.599999999999</v>
      </c>
      <c r="H577" t="s">
        <v>16</v>
      </c>
      <c r="I577">
        <v>17.100000000002101</v>
      </c>
      <c r="J577">
        <v>34.200000000004302</v>
      </c>
      <c r="K577">
        <v>-17.100000000002101</v>
      </c>
      <c r="L577">
        <f>SUM($K$2:K577)</f>
        <v>2194.6499999999619</v>
      </c>
      <c r="M577">
        <f>MAX($L$2:L577)</f>
        <v>2259.6999999999721</v>
      </c>
      <c r="N577">
        <f t="shared" si="8"/>
        <v>65.050000000010186</v>
      </c>
    </row>
    <row r="578" spans="1:14" x14ac:dyDescent="0.35">
      <c r="A578" t="s">
        <v>1106</v>
      </c>
      <c r="B578" t="s">
        <v>1107</v>
      </c>
      <c r="C578" t="s">
        <v>32</v>
      </c>
      <c r="D578">
        <v>25857.5</v>
      </c>
      <c r="E578">
        <v>25933.65</v>
      </c>
      <c r="F578">
        <v>25705.199999999899</v>
      </c>
      <c r="G578">
        <v>25933.65</v>
      </c>
      <c r="H578" t="s">
        <v>16</v>
      </c>
      <c r="I578">
        <v>76.150000000001398</v>
      </c>
      <c r="J578">
        <v>152.300000000002</v>
      </c>
      <c r="K578">
        <v>-76.150000000001398</v>
      </c>
      <c r="L578">
        <f>SUM($K$2:K578)</f>
        <v>2118.4999999999604</v>
      </c>
      <c r="M578">
        <f>MAX($L$2:L578)</f>
        <v>2259.6999999999721</v>
      </c>
      <c r="N578">
        <f t="shared" ref="N578:N641" si="9">M578-L578</f>
        <v>141.20000000001164</v>
      </c>
    </row>
    <row r="579" spans="1:14" x14ac:dyDescent="0.35">
      <c r="A579" t="s">
        <v>1108</v>
      </c>
      <c r="B579" t="s">
        <v>1109</v>
      </c>
      <c r="C579" t="s">
        <v>13</v>
      </c>
      <c r="D579">
        <v>25967.45</v>
      </c>
      <c r="E579">
        <v>25951.3</v>
      </c>
      <c r="F579">
        <v>25999.75</v>
      </c>
      <c r="G579">
        <v>25951.3</v>
      </c>
      <c r="H579" t="s">
        <v>16</v>
      </c>
      <c r="I579">
        <v>16.150000000001398</v>
      </c>
      <c r="J579">
        <v>32.300000000002903</v>
      </c>
      <c r="K579">
        <v>-16.150000000001398</v>
      </c>
      <c r="L579">
        <f>SUM($K$2:K579)</f>
        <v>2102.349999999959</v>
      </c>
      <c r="M579">
        <f>MAX($L$2:L579)</f>
        <v>2259.6999999999721</v>
      </c>
      <c r="N579">
        <f t="shared" si="9"/>
        <v>157.3500000000131</v>
      </c>
    </row>
    <row r="580" spans="1:14" x14ac:dyDescent="0.35">
      <c r="A580" t="s">
        <v>1110</v>
      </c>
      <c r="B580" t="s">
        <v>1111</v>
      </c>
      <c r="C580" t="s">
        <v>13</v>
      </c>
      <c r="D580">
        <v>26088.65</v>
      </c>
      <c r="E580">
        <v>26068.2</v>
      </c>
      <c r="F580">
        <v>26129.55</v>
      </c>
      <c r="G580">
        <v>26129.55</v>
      </c>
      <c r="H580" t="s">
        <v>14</v>
      </c>
      <c r="I580">
        <v>20.450000000000699</v>
      </c>
      <c r="J580">
        <v>40.900000000001398</v>
      </c>
      <c r="K580">
        <v>40.900000000001398</v>
      </c>
      <c r="L580">
        <f>SUM($K$2:K580)</f>
        <v>2143.2499999999604</v>
      </c>
      <c r="M580">
        <f>MAX($L$2:L580)</f>
        <v>2259.6999999999721</v>
      </c>
      <c r="N580">
        <f t="shared" si="9"/>
        <v>116.45000000001164</v>
      </c>
    </row>
    <row r="581" spans="1:14" x14ac:dyDescent="0.35">
      <c r="A581" t="s">
        <v>1112</v>
      </c>
      <c r="B581" t="s">
        <v>1113</v>
      </c>
      <c r="C581" t="s">
        <v>13</v>
      </c>
      <c r="D581">
        <v>26147.35</v>
      </c>
      <c r="E581">
        <v>26133.15</v>
      </c>
      <c r="F581">
        <v>26175.749999999902</v>
      </c>
      <c r="G581">
        <v>26133.15</v>
      </c>
      <c r="H581" t="s">
        <v>16</v>
      </c>
      <c r="I581">
        <v>14.199999999997001</v>
      </c>
      <c r="J581">
        <v>28.399999999994101</v>
      </c>
      <c r="K581">
        <v>-14.199999999997001</v>
      </c>
      <c r="L581">
        <f>SUM($K$2:K581)</f>
        <v>2129.0499999999633</v>
      </c>
      <c r="M581">
        <f>MAX($L$2:L581)</f>
        <v>2259.6999999999721</v>
      </c>
      <c r="N581">
        <f t="shared" si="9"/>
        <v>130.65000000000873</v>
      </c>
    </row>
    <row r="582" spans="1:14" x14ac:dyDescent="0.35">
      <c r="A582" t="s">
        <v>1114</v>
      </c>
      <c r="B582" t="s">
        <v>1115</v>
      </c>
      <c r="C582" t="s">
        <v>13</v>
      </c>
      <c r="D582">
        <v>26203.25</v>
      </c>
      <c r="E582">
        <v>26186.7</v>
      </c>
      <c r="F582">
        <v>26236.35</v>
      </c>
      <c r="G582">
        <v>26236.35</v>
      </c>
      <c r="H582" t="s">
        <v>14</v>
      </c>
      <c r="I582">
        <v>16.549999999999201</v>
      </c>
      <c r="J582">
        <v>33.099999999998502</v>
      </c>
      <c r="K582">
        <v>33.099999999998502</v>
      </c>
      <c r="L582">
        <f>SUM($K$2:K582)</f>
        <v>2162.1499999999619</v>
      </c>
      <c r="M582">
        <f>MAX($L$2:L582)</f>
        <v>2259.6999999999721</v>
      </c>
      <c r="N582">
        <f t="shared" si="9"/>
        <v>97.550000000010186</v>
      </c>
    </row>
    <row r="583" spans="1:14" x14ac:dyDescent="0.35">
      <c r="A583" t="s">
        <v>1116</v>
      </c>
      <c r="B583" t="s">
        <v>1117</v>
      </c>
      <c r="C583" t="s">
        <v>13</v>
      </c>
      <c r="D583">
        <v>26218.7</v>
      </c>
      <c r="E583">
        <v>26204.2</v>
      </c>
      <c r="F583">
        <v>26247.7</v>
      </c>
      <c r="G583">
        <v>26204.2</v>
      </c>
      <c r="H583" t="s">
        <v>16</v>
      </c>
      <c r="I583">
        <v>14.5</v>
      </c>
      <c r="J583">
        <v>29</v>
      </c>
      <c r="K583">
        <v>-14.5</v>
      </c>
      <c r="L583">
        <f>SUM($K$2:K583)</f>
        <v>2147.6499999999619</v>
      </c>
      <c r="M583">
        <f>MAX($L$2:L583)</f>
        <v>2259.6999999999721</v>
      </c>
      <c r="N583">
        <f t="shared" si="9"/>
        <v>112.05000000001019</v>
      </c>
    </row>
    <row r="584" spans="1:14" x14ac:dyDescent="0.35">
      <c r="A584" t="s">
        <v>1118</v>
      </c>
      <c r="B584" t="s">
        <v>1119</v>
      </c>
      <c r="C584" t="s">
        <v>32</v>
      </c>
      <c r="D584">
        <v>26131.3</v>
      </c>
      <c r="E584">
        <v>26159.25</v>
      </c>
      <c r="F584">
        <v>26075.3999999999</v>
      </c>
      <c r="G584">
        <v>26075.3999999999</v>
      </c>
      <c r="H584" t="s">
        <v>14</v>
      </c>
      <c r="I584">
        <v>27.950000000000699</v>
      </c>
      <c r="J584">
        <v>55.900000000001398</v>
      </c>
      <c r="K584">
        <v>55.900000000001398</v>
      </c>
      <c r="L584">
        <f>SUM($K$2:K584)</f>
        <v>2203.5499999999633</v>
      </c>
      <c r="M584">
        <f>MAX($L$2:L584)</f>
        <v>2259.6999999999721</v>
      </c>
      <c r="N584">
        <f t="shared" si="9"/>
        <v>56.150000000008731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B9529-48C6-4048-B8EA-ECE41883F70B}">
  <dimension ref="A1:B6"/>
  <sheetViews>
    <sheetView workbookViewId="0">
      <selection activeCell="B7" sqref="B7"/>
    </sheetView>
  </sheetViews>
  <sheetFormatPr defaultRowHeight="14.5" x14ac:dyDescent="0.35"/>
  <cols>
    <col min="1" max="1" width="11.1796875" bestFit="1" customWidth="1"/>
    <col min="2" max="2" width="8" bestFit="1" customWidth="1"/>
  </cols>
  <sheetData>
    <row r="1" spans="1:2" x14ac:dyDescent="0.35">
      <c r="A1" t="s">
        <v>1120</v>
      </c>
      <c r="B1" t="s">
        <v>1121</v>
      </c>
    </row>
    <row r="2" spans="1:2" x14ac:dyDescent="0.35">
      <c r="A2" t="s">
        <v>1122</v>
      </c>
      <c r="B2">
        <f>ROWS(TradeData[])</f>
        <v>583</v>
      </c>
    </row>
    <row r="3" spans="1:2" x14ac:dyDescent="0.35">
      <c r="A3" t="s">
        <v>1126</v>
      </c>
      <c r="B3">
        <f>COUNTIF(TradeData[Outcome],"TARGET*")</f>
        <v>199</v>
      </c>
    </row>
    <row r="4" spans="1:2" x14ac:dyDescent="0.35">
      <c r="A4" t="s">
        <v>1127</v>
      </c>
      <c r="B4">
        <f>B3/B2*100</f>
        <v>34.133790737564325</v>
      </c>
    </row>
    <row r="5" spans="1:2" x14ac:dyDescent="0.35">
      <c r="A5" t="s">
        <v>1128</v>
      </c>
      <c r="B5">
        <f>SUM(TradeData[PnL])</f>
        <v>2203.5499999999633</v>
      </c>
    </row>
    <row r="6" spans="1:2" x14ac:dyDescent="0.35">
      <c r="A6" t="s">
        <v>1129</v>
      </c>
      <c r="B6">
        <f>MIN(TradeData[Drawdown])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TradeData</vt:lpstr>
      <vt:lpstr>Dashboard_Data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Shivam Gupta</cp:lastModifiedBy>
  <dcterms:created xsi:type="dcterms:W3CDTF">2015-06-05T18:17:20Z</dcterms:created>
  <dcterms:modified xsi:type="dcterms:W3CDTF">2025-11-26T10:29:41Z</dcterms:modified>
</cp:coreProperties>
</file>